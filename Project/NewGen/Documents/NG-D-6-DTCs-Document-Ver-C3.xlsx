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ssi\Desktop\New Gen\new gen\2\UDS\DTC\"/>
    </mc:Choice>
  </mc:AlternateContent>
  <xr:revisionPtr revIDLastSave="0" documentId="13_ncr:1_{63333CED-D5A4-4660-AD3F-6783038F3EE3}" xr6:coauthVersionLast="47" xr6:coauthVersionMax="47" xr10:uidLastSave="{00000000-0000-0000-0000-000000000000}"/>
  <bookViews>
    <workbookView xWindow="-28920" yWindow="-120" windowWidth="29040" windowHeight="15840" activeTab="1" xr2:uid="{BABC1FE4-C7B0-4F03-A866-C736C1566827}"/>
  </bookViews>
  <sheets>
    <sheet name="Version History" sheetId="3" r:id="rId1"/>
    <sheet name="DTCs" sheetId="1" r:id="rId2"/>
    <sheet name="DTC and FTB Calculation" sheetId="4" r:id="rId3"/>
  </sheets>
  <definedNames>
    <definedName name="_xlnm._FilterDatabase" localSheetId="1" hidden="1">DTCs!$F$2:$F$49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1" l="1"/>
  <c r="H34" i="1"/>
  <c r="H4" i="1"/>
  <c r="C57" i="4" l="1"/>
  <c r="D57" i="4"/>
  <c r="E57" i="4"/>
  <c r="G57" i="4" s="1"/>
  <c r="E56" i="4"/>
  <c r="G56" i="4"/>
  <c r="C56" i="4" s="1"/>
  <c r="H3" i="1"/>
  <c r="H41" i="1"/>
  <c r="H29" i="1"/>
  <c r="H18" i="1"/>
  <c r="E49" i="1"/>
  <c r="D49" i="1" s="1"/>
  <c r="E48" i="1"/>
  <c r="D48" i="1" s="1"/>
  <c r="E47" i="1"/>
  <c r="D47" i="1" s="1"/>
  <c r="E46" i="1"/>
  <c r="D46" i="1" s="1"/>
  <c r="C52" i="4"/>
  <c r="C53" i="4"/>
  <c r="C54" i="4"/>
  <c r="C55" i="4"/>
  <c r="G52" i="4"/>
  <c r="G53" i="4"/>
  <c r="G54" i="4"/>
  <c r="G55" i="4"/>
  <c r="D52" i="4"/>
  <c r="D53" i="4"/>
  <c r="D54" i="4"/>
  <c r="D55" i="4"/>
  <c r="E52" i="4"/>
  <c r="E53" i="4"/>
  <c r="E54" i="4"/>
  <c r="E55" i="4"/>
  <c r="H26" i="1"/>
  <c r="E45" i="1"/>
  <c r="D45" i="1" s="1"/>
  <c r="E44" i="1"/>
  <c r="D44" i="1" s="1"/>
  <c r="C48" i="4"/>
  <c r="C49" i="4"/>
  <c r="C50" i="4"/>
  <c r="C51" i="4"/>
  <c r="G48" i="4"/>
  <c r="G49" i="4"/>
  <c r="G50" i="4"/>
  <c r="G51" i="4"/>
  <c r="D48" i="4"/>
  <c r="D49" i="4"/>
  <c r="D50" i="4"/>
  <c r="D51" i="4"/>
  <c r="E48" i="4"/>
  <c r="E49" i="4"/>
  <c r="E50" i="4"/>
  <c r="E51" i="4"/>
  <c r="G41" i="4"/>
  <c r="C41" i="4" s="1"/>
  <c r="E37" i="4"/>
  <c r="D37" i="4" s="1"/>
  <c r="E38" i="4"/>
  <c r="G38" i="4" s="1"/>
  <c r="C38" i="4" s="1"/>
  <c r="E39" i="4"/>
  <c r="D39" i="4" s="1"/>
  <c r="E40" i="4"/>
  <c r="D40" i="4" s="1"/>
  <c r="E41" i="4"/>
  <c r="D41" i="4" s="1"/>
  <c r="E42" i="4"/>
  <c r="G42" i="4" s="1"/>
  <c r="C42" i="4" s="1"/>
  <c r="E43" i="4"/>
  <c r="G43" i="4" s="1"/>
  <c r="C43" i="4" s="1"/>
  <c r="E44" i="4"/>
  <c r="D44" i="4" s="1"/>
  <c r="E45" i="4"/>
  <c r="G45" i="4" s="1"/>
  <c r="C45" i="4" s="1"/>
  <c r="E46" i="4"/>
  <c r="G46" i="4" s="1"/>
  <c r="C46" i="4" s="1"/>
  <c r="E47" i="4"/>
  <c r="D47" i="4" s="1"/>
  <c r="E33" i="1"/>
  <c r="D33" i="1" s="1"/>
  <c r="E34" i="1"/>
  <c r="D34" i="1" s="1"/>
  <c r="E35" i="1"/>
  <c r="D35" i="1" s="1"/>
  <c r="E36" i="1"/>
  <c r="D36" i="1" s="1"/>
  <c r="E37" i="1"/>
  <c r="D37" i="1" s="1"/>
  <c r="E38" i="1"/>
  <c r="D38" i="1" s="1"/>
  <c r="E39" i="1"/>
  <c r="D39" i="1" s="1"/>
  <c r="E40" i="1"/>
  <c r="D40" i="1" s="1"/>
  <c r="E41" i="1"/>
  <c r="D41" i="1" s="1"/>
  <c r="E42" i="1"/>
  <c r="D42" i="1" s="1"/>
  <c r="E43" i="1"/>
  <c r="D43" i="1" s="1"/>
  <c r="E36" i="4"/>
  <c r="G36" i="4" s="1"/>
  <c r="C36" i="4" s="1"/>
  <c r="E35" i="4"/>
  <c r="G35" i="4" s="1"/>
  <c r="C35" i="4" s="1"/>
  <c r="E34" i="4"/>
  <c r="G34" i="4" s="1"/>
  <c r="C34" i="4" s="1"/>
  <c r="E33" i="4"/>
  <c r="G33" i="4" s="1"/>
  <c r="C33" i="4" s="1"/>
  <c r="E32" i="4"/>
  <c r="G32" i="4" s="1"/>
  <c r="C32" i="4" s="1"/>
  <c r="E31" i="4"/>
  <c r="G31" i="4" s="1"/>
  <c r="C31" i="4" s="1"/>
  <c r="E30" i="4"/>
  <c r="G30" i="4" s="1"/>
  <c r="C30" i="4" s="1"/>
  <c r="E29" i="4"/>
  <c r="G29" i="4" s="1"/>
  <c r="C29" i="4" s="1"/>
  <c r="E28" i="4"/>
  <c r="G28" i="4" s="1"/>
  <c r="C28" i="4" s="1"/>
  <c r="E27" i="4"/>
  <c r="G27" i="4" s="1"/>
  <c r="C27" i="4" s="1"/>
  <c r="E26" i="4"/>
  <c r="G26" i="4" s="1"/>
  <c r="C26" i="4" s="1"/>
  <c r="E25" i="4"/>
  <c r="G25" i="4" s="1"/>
  <c r="C25" i="4" s="1"/>
  <c r="D25" i="4"/>
  <c r="E24" i="4"/>
  <c r="G24" i="4" s="1"/>
  <c r="C24" i="4" s="1"/>
  <c r="E23" i="4"/>
  <c r="G23" i="4" s="1"/>
  <c r="C23" i="4" s="1"/>
  <c r="E22" i="4"/>
  <c r="G22" i="4" s="1"/>
  <c r="C22" i="4" s="1"/>
  <c r="E21" i="4"/>
  <c r="G21" i="4" s="1"/>
  <c r="C21" i="4" s="1"/>
  <c r="E20" i="4"/>
  <c r="G20" i="4" s="1"/>
  <c r="C20" i="4" s="1"/>
  <c r="E19" i="4"/>
  <c r="G19" i="4" s="1"/>
  <c r="C19" i="4" s="1"/>
  <c r="D19" i="4"/>
  <c r="E18" i="4"/>
  <c r="G18" i="4" s="1"/>
  <c r="C18" i="4" s="1"/>
  <c r="E17" i="4"/>
  <c r="G17" i="4" s="1"/>
  <c r="C17" i="4" s="1"/>
  <c r="E16" i="4"/>
  <c r="G16" i="4" s="1"/>
  <c r="C16" i="4" s="1"/>
  <c r="E15" i="4"/>
  <c r="G15" i="4" s="1"/>
  <c r="C15" i="4" s="1"/>
  <c r="E14" i="4"/>
  <c r="G14" i="4" s="1"/>
  <c r="C14" i="4" s="1"/>
  <c r="E13" i="4"/>
  <c r="G13" i="4" s="1"/>
  <c r="C13" i="4" s="1"/>
  <c r="D13" i="4"/>
  <c r="E12" i="4"/>
  <c r="G12" i="4" s="1"/>
  <c r="C12" i="4" s="1"/>
  <c r="E11" i="4"/>
  <c r="G11" i="4" s="1"/>
  <c r="C11" i="4" s="1"/>
  <c r="D11" i="4"/>
  <c r="E10" i="4"/>
  <c r="G10" i="4" s="1"/>
  <c r="C10" i="4" s="1"/>
  <c r="E9" i="4"/>
  <c r="G9" i="4" s="1"/>
  <c r="C9" i="4" s="1"/>
  <c r="D9" i="4"/>
  <c r="E8" i="4"/>
  <c r="G8" i="4" s="1"/>
  <c r="C8" i="4" s="1"/>
  <c r="E7" i="4"/>
  <c r="G7" i="4" s="1"/>
  <c r="C7" i="4" s="1"/>
  <c r="E6" i="4"/>
  <c r="G6" i="4" s="1"/>
  <c r="C6" i="4" s="1"/>
  <c r="E5" i="4"/>
  <c r="G5" i="4" s="1"/>
  <c r="C5" i="4" s="1"/>
  <c r="D5" i="4"/>
  <c r="E4" i="4"/>
  <c r="G4" i="4" s="1"/>
  <c r="C4" i="4" s="1"/>
  <c r="E3" i="4"/>
  <c r="N3" i="4" s="1"/>
  <c r="D3" i="4"/>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 i="1"/>
  <c r="D56" i="4" l="1"/>
  <c r="D29" i="4"/>
  <c r="D35" i="4"/>
  <c r="D31" i="4"/>
  <c r="D43" i="4"/>
  <c r="D42" i="4"/>
  <c r="D15" i="4"/>
  <c r="D21" i="4"/>
  <c r="D27" i="4"/>
  <c r="G37" i="4"/>
  <c r="C37" i="4" s="1"/>
  <c r="G40" i="4"/>
  <c r="C40" i="4" s="1"/>
  <c r="G47" i="4"/>
  <c r="C47" i="4" s="1"/>
  <c r="D46" i="4"/>
  <c r="D38" i="4"/>
  <c r="G44" i="4"/>
  <c r="C44" i="4" s="1"/>
  <c r="G39" i="4"/>
  <c r="C39" i="4" s="1"/>
  <c r="D17" i="4"/>
  <c r="D33" i="4"/>
  <c r="D45" i="4"/>
  <c r="D7" i="4"/>
  <c r="D23" i="4"/>
  <c r="G3" i="4"/>
  <c r="C3" i="4" s="1"/>
  <c r="D4" i="4"/>
  <c r="D6" i="4"/>
  <c r="D8" i="4"/>
  <c r="D10" i="4"/>
  <c r="D12" i="4"/>
  <c r="D14" i="4"/>
  <c r="D16" i="4"/>
  <c r="D18" i="4"/>
  <c r="D20" i="4"/>
  <c r="D22" i="4"/>
  <c r="D24" i="4"/>
  <c r="D26" i="4"/>
  <c r="D28" i="4"/>
  <c r="D30" i="4"/>
  <c r="D32" i="4"/>
  <c r="D34" i="4"/>
  <c r="D36" i="4"/>
</calcChain>
</file>

<file path=xl/sharedStrings.xml><?xml version="1.0" encoding="utf-8"?>
<sst xmlns="http://schemas.openxmlformats.org/spreadsheetml/2006/main" count="1013" uniqueCount="419">
  <si>
    <t>S.No</t>
  </si>
  <si>
    <t xml:space="preserve">DTC Status </t>
  </si>
  <si>
    <t>IRP Code
[HEX]</t>
  </si>
  <si>
    <t>DBC CAN Signal</t>
  </si>
  <si>
    <t>Short Description</t>
  </si>
  <si>
    <t>Maturation / Debounce Time [ms]</t>
  </si>
  <si>
    <t>Precondition</t>
  </si>
  <si>
    <t>Set - Conditions</t>
  </si>
  <si>
    <t>Heal - Conditions</t>
  </si>
  <si>
    <t>Automatic healing</t>
  </si>
  <si>
    <t>Priority</t>
  </si>
  <si>
    <t>Repair Action</t>
  </si>
  <si>
    <t>Error Reaction</t>
  </si>
  <si>
    <t>RAM / EEPROM / Other</t>
  </si>
  <si>
    <t>Major Group</t>
  </si>
  <si>
    <t>Minor Group</t>
  </si>
  <si>
    <t xml:space="preserve">Enabled </t>
  </si>
  <si>
    <t>Motor_Over_Temp</t>
  </si>
  <si>
    <t>Motor_OT_Fault_Threshold2</t>
  </si>
  <si>
    <t>Motor temperature exeeds cutoff value</t>
  </si>
  <si>
    <t>10 ms</t>
  </si>
  <si>
    <t>Power ON</t>
  </si>
  <si>
    <t>Motor Temp &gt;= 155°C</t>
  </si>
  <si>
    <t>Motor Temp &lt; 145°C</t>
  </si>
  <si>
    <t>Yes</t>
  </si>
  <si>
    <t>High</t>
  </si>
  <si>
    <t>1. Stop driving
2. Allow the motor to cool down</t>
  </si>
  <si>
    <t>Torque cmd = 0Nm</t>
  </si>
  <si>
    <t>EEPROM</t>
  </si>
  <si>
    <t>Motor</t>
  </si>
  <si>
    <t>Thermal</t>
  </si>
  <si>
    <t>33179A</t>
  </si>
  <si>
    <t>Motor_Low_Temp</t>
  </si>
  <si>
    <t>Motor_UT_Fault_Threshold2</t>
  </si>
  <si>
    <t>10ms</t>
  </si>
  <si>
    <t>Motor Temp &lt; -30°C</t>
  </si>
  <si>
    <t>Motor Temp &gt;= -25°C</t>
  </si>
  <si>
    <t>1. Heat up the Motor
2. Cycle KSI</t>
  </si>
  <si>
    <t>Motor_Temp_Sensor_Invalid</t>
  </si>
  <si>
    <t>Motor_TempSensor_Failure</t>
  </si>
  <si>
    <t>Motor temperature sensor invalid value</t>
  </si>
  <si>
    <t>Motor Temp (voltage) exceeds the range 0.2 to 4.8VDC
OR
Invalid data consistancy</t>
  </si>
  <si>
    <t>NA</t>
  </si>
  <si>
    <t>No</t>
  </si>
  <si>
    <t>1. Stop driving
2. Cycle KSI</t>
  </si>
  <si>
    <t>Torque cmd = 0 Nm</t>
  </si>
  <si>
    <t>MCU_Over_Temp</t>
  </si>
  <si>
    <t>MCU_Board_OT_Fault_Threshold2</t>
  </si>
  <si>
    <t>MCU board temperature exeeds cutoff value</t>
  </si>
  <si>
    <t>MCU Temp &gt;=90°C</t>
  </si>
  <si>
    <t>MCU Temp &lt; 80°C</t>
  </si>
  <si>
    <t>1. Stop driving
2. Allow the MCU to cool down</t>
  </si>
  <si>
    <t>Inverter</t>
  </si>
  <si>
    <t>33279A</t>
  </si>
  <si>
    <t>810A</t>
  </si>
  <si>
    <t>MCU_Low_Temp</t>
  </si>
  <si>
    <t>MCU_Board_UT_Fault_Threshold2</t>
  </si>
  <si>
    <t>MCU Temp &lt; -20°C</t>
  </si>
  <si>
    <t>MCU Temp &gt;= -15°C</t>
  </si>
  <si>
    <t>1. Heat up the MCU
2. Cycle KSI</t>
  </si>
  <si>
    <t>MCU_Temp_Sensor_Invalid</t>
  </si>
  <si>
    <t>MCU_TempSensor_Failure</t>
  </si>
  <si>
    <t>MCU temperature sensor invalid value</t>
  </si>
  <si>
    <t>MCU Temp (voltage) exceeds the range 0.2 to 4.8VDC
OR
Invalid data consistancy</t>
  </si>
  <si>
    <t>332119</t>
  </si>
  <si>
    <t>Phase_U_Overcurrent</t>
  </si>
  <si>
    <t>MCU_OP_I_Fault</t>
  </si>
  <si>
    <t>Motor phase U over-current</t>
  </si>
  <si>
    <t>~0.2ms</t>
  </si>
  <si>
    <t>Phase U Current (abs.) &gt; 700A</t>
  </si>
  <si>
    <t>Freewheeling (MCU disabled)</t>
  </si>
  <si>
    <t>Current</t>
  </si>
  <si>
    <t>332196</t>
  </si>
  <si>
    <t>Phase_U_Sensor_Failure</t>
  </si>
  <si>
    <t>MCU_Current_Sensor_Failure</t>
  </si>
  <si>
    <t>Phase current sensor failure</t>
  </si>
  <si>
    <t>~0.66ms</t>
  </si>
  <si>
    <t>Phase U Current (voltage) exceeds the range 0.2 to 4.8VDC 
OR
Phase U Current offset voltage &gt; 2.5VDC ± 0.61VDC</t>
  </si>
  <si>
    <t>33211D</t>
  </si>
  <si>
    <t>Phase_V_Overcurrent</t>
  </si>
  <si>
    <t>Motor phase V over-current</t>
  </si>
  <si>
    <t>Phase V Current (abs.) &gt; 700A</t>
  </si>
  <si>
    <t>33219A</t>
  </si>
  <si>
    <t>Phase_V_Sensor_Failure</t>
  </si>
  <si>
    <t>Phase V Current (voltage) exceeds the range 0.2 to 4.8VDC 
OR
Phase V Current offset voltage &gt; 2.5VDC ± 0.61VDC</t>
  </si>
  <si>
    <t>Phase_W_Overcurrent</t>
  </si>
  <si>
    <t>Motor phase W over-current</t>
  </si>
  <si>
    <t>Phase W Current (abs.) &gt; 700A</t>
  </si>
  <si>
    <t>821A</t>
  </si>
  <si>
    <t>Phase_U_Disconnected</t>
  </si>
  <si>
    <t>Motor_Open_Fault</t>
  </si>
  <si>
    <t>Motor disconnected</t>
  </si>
  <si>
    <t>One of the following conditions exists:
1) Phase U Current &lt; 10A RMS
AND
Phase V Current &gt; 50A RMS
AND
Phase W Current &gt; 50A RMS
OR
2) Phase U Current &lt; 10A RMS
AND
Phase V Current &lt; 10A RMS
AND
Phase W Current &lt; 10A RMS
AND
Vdq &lt; 0.5 * Max_Vdq</t>
  </si>
  <si>
    <t>Harness</t>
  </si>
  <si>
    <t>821B</t>
  </si>
  <si>
    <t>Phase_V_Disconnected</t>
  </si>
  <si>
    <t>One of the following conditions exists:
1) Phase U Current &gt; 50A RMS
AND
Phase V Current &lt; 10A RMS
AND
Phase W Current &gt; 50A RMS
OR
2) Phase U Current &lt; 10A RMS
AND
Phase V Current &lt; 10A RMS
AND
Phase W Current &lt; 10A RMS
AND
Vdq &lt; 0.5 * Max_Vdq</t>
  </si>
  <si>
    <t>33241D</t>
  </si>
  <si>
    <t>821C</t>
  </si>
  <si>
    <t>Phase_W_Disconnected</t>
  </si>
  <si>
    <t>One of the following conditions exists:
1) Phase U Current &gt; 50A RMS
AND
Phase V Current &gt; 50A RMS
AND
Phase W Current &lt; 10A RMS
OR
2) Phase U Current &lt; 10A RMS
AND
Phase V Current &lt; 10A RMS
AND
Phase W Current &lt; 10A RMS
AND
Vdq &lt; 0.5 * Max_Vdq</t>
  </si>
  <si>
    <t>Pre_Charge_Over_Temp</t>
  </si>
  <si>
    <t>MCU temperature reached dangerous level</t>
  </si>
  <si>
    <t>Power ON
MCU in INIT state</t>
  </si>
  <si>
    <t>Pre-charge Temp &gt;= 120°C</t>
  </si>
  <si>
    <t>Pre-charge Temp &lt; 115°C</t>
  </si>
  <si>
    <t>1. Allow the MCU to cool down
2. Cycle KSI</t>
  </si>
  <si>
    <t>332863</t>
  </si>
  <si>
    <t>Pre_Charge_Timeout</t>
  </si>
  <si>
    <t>Pre-charge process not completed/failed</t>
  </si>
  <si>
    <t>5000ms</t>
  </si>
  <si>
    <t>Power ON
MCU in INIT state (during pre-charge)</t>
  </si>
  <si>
    <t>VBUS &lt;= VBUS IN - 5VDC</t>
  </si>
  <si>
    <t>Cycle KSI</t>
  </si>
  <si>
    <t>Voltage</t>
  </si>
  <si>
    <t>Pre_Charge_Latch_Fault</t>
  </si>
  <si>
    <t>Pre-charge latch failure</t>
  </si>
  <si>
    <t>Prior pre-charge:
- VBUS IN &gt; 35VDC
AND
- VBUS = VBUS IN ± 1VDC
OR
After Pre-Charge completed:
- VBUS &lt; 0.1 * VBUS_IN</t>
  </si>
  <si>
    <t>BAT_Low_Voltage</t>
  </si>
  <si>
    <t>Batt_Low_Voltage_Fault</t>
  </si>
  <si>
    <t>HV Battery voltage low</t>
  </si>
  <si>
    <t>Power ON
MCU not in INIT or SHUTOFF state</t>
  </si>
  <si>
    <t>VBUS IN &lt;= 40VDC 
AND
VSW &gt; 8VDC</t>
  </si>
  <si>
    <t xml:space="preserve">
No</t>
  </si>
  <si>
    <t>RAM</t>
  </si>
  <si>
    <t>Control Board</t>
  </si>
  <si>
    <t>813B</t>
  </si>
  <si>
    <t>BAT_High_Voltage</t>
  </si>
  <si>
    <t>Batt_High_Voltage_Fault</t>
  </si>
  <si>
    <t>HV Battery voltage high</t>
  </si>
  <si>
    <t>VBUS IN &gt;= 60VDC</t>
  </si>
  <si>
    <t>333816</t>
  </si>
  <si>
    <t>GateDriver_Under_Voltage</t>
  </si>
  <si>
    <t>GateDriver_Under_Voltage_Fault</t>
  </si>
  <si>
    <t>Gate drivers low power supply voltage</t>
  </si>
  <si>
    <t>GDVOLT_PG = ‘0’</t>
  </si>
  <si>
    <t>MCU_EEPROM_Failure</t>
  </si>
  <si>
    <t>Failed to read configuration data</t>
  </si>
  <si>
    <t>Immediately</t>
  </si>
  <si>
    <t>EEPROM memory validation check failed</t>
  </si>
  <si>
    <t>Memory</t>
  </si>
  <si>
    <t>MCU_Gain_Values</t>
  </si>
  <si>
    <t>Configuration data revert to factory default</t>
  </si>
  <si>
    <t>Current sensors gain values = 550 (factory default)</t>
  </si>
  <si>
    <t>1. Set all three parameters to Factory default value
2. Torque cmd = 0Nm</t>
  </si>
  <si>
    <t>Motor_Position_Sensor_Fault</t>
  </si>
  <si>
    <t>Encoder_Fault</t>
  </si>
  <si>
    <t>Motor encoder failure</t>
  </si>
  <si>
    <t>Power ON
Motor rotating</t>
  </si>
  <si>
    <t>Encoder operation abnormal</t>
  </si>
  <si>
    <t>Encoder</t>
  </si>
  <si>
    <t>Motor_Stall</t>
  </si>
  <si>
    <t>Motor_Stall_Fault</t>
  </si>
  <si>
    <t>Motor stall</t>
  </si>
  <si>
    <t>Current Command (IQ) = 480A 
AND
Motor Speed = 0 RPM</t>
  </si>
  <si>
    <t>Current Command (IQ) = 0A (throttle released)</t>
  </si>
  <si>
    <t>Release throttle</t>
  </si>
  <si>
    <t>Stall</t>
  </si>
  <si>
    <t>Perf_Derating_BAT_voltage_Limit</t>
  </si>
  <si>
    <t>Performances derating - BAT voltage</t>
  </si>
  <si>
    <t>Power ON
MCU not in INIT state</t>
  </si>
  <si>
    <t>Performance derating is active (Derating Level &gt; 0%) due to HV Battery voltage limit</t>
  </si>
  <si>
    <t>Performance derating is not active (Derating Level &gt; 0%) 
OR
Perfromance dereating source is not HV Battery voltage</t>
  </si>
  <si>
    <t>Med</t>
  </si>
  <si>
    <t>No action</t>
  </si>
  <si>
    <t>Apply derating level</t>
  </si>
  <si>
    <t>Enabled</t>
  </si>
  <si>
    <t>333586</t>
  </si>
  <si>
    <t>MCU_VIN_Mismatch</t>
  </si>
  <si>
    <t>MCU_VIN_Mismatch_Fault</t>
  </si>
  <si>
    <t>VIN check failed</t>
  </si>
  <si>
    <t>33118F</t>
  </si>
  <si>
    <t>Motor_Over_Speed_Fault</t>
  </si>
  <si>
    <t>Motor Speed More than Rated Value</t>
  </si>
  <si>
    <t>500 ms</t>
  </si>
  <si>
    <t>Motor speed ＞ 10000 rpm</t>
  </si>
  <si>
    <t>Motor speed ＞ 9500 rpm</t>
  </si>
  <si>
    <t>D33391</t>
  </si>
  <si>
    <t>CAN_MB0_Timeout</t>
  </si>
  <si>
    <t>CAN_VCU1_20_Timeout</t>
  </si>
  <si>
    <t>Invalid CAN msg. VCU1_20</t>
  </si>
  <si>
    <t>200ms</t>
  </si>
  <si>
    <t>Power ON
Checked after first msg. received</t>
  </si>
  <si>
    <t>No valid CAN msg. has been received for the time duration</t>
  </si>
  <si>
    <t>Receiving valid CAN msg.</t>
  </si>
  <si>
    <t>Low</t>
  </si>
  <si>
    <t>CAN</t>
  </si>
  <si>
    <t>D33392</t>
  </si>
  <si>
    <t>CAN_MB1_Timeout</t>
  </si>
  <si>
    <t>CAN_VCU3_100_Timeout</t>
  </si>
  <si>
    <t>Invalid CAN msg. VCU3_100</t>
  </si>
  <si>
    <t>1000ms</t>
  </si>
  <si>
    <t>D33394</t>
  </si>
  <si>
    <t>CAN_MB2_Timeout</t>
  </si>
  <si>
    <t>Invalid CAN msg. BMS10_100</t>
  </si>
  <si>
    <t>E3338F</t>
  </si>
  <si>
    <t>Document Number</t>
  </si>
  <si>
    <t>Document Name</t>
  </si>
  <si>
    <t>Version Number</t>
  </si>
  <si>
    <t>Date</t>
  </si>
  <si>
    <t>Change History</t>
  </si>
  <si>
    <t>Edited By</t>
  </si>
  <si>
    <t>Approved By</t>
  </si>
  <si>
    <t>00-A</t>
  </si>
  <si>
    <t>First edition, based on A301_Rev 04_NewGen_MCU_P2P_DTC_28012025</t>
  </si>
  <si>
    <t>A.M</t>
  </si>
  <si>
    <t>NG D-6 DTCs Document</t>
  </si>
  <si>
    <t>Dematuration Time [ms]</t>
  </si>
  <si>
    <t>0.1ms</t>
  </si>
  <si>
    <t>1000 ms</t>
  </si>
  <si>
    <r>
      <t>D6-NG-ICD</t>
    </r>
    <r>
      <rPr>
        <sz val="11"/>
        <rFont val="Aptos Narrow"/>
        <family val="2"/>
        <scheme val="minor"/>
      </rPr>
      <t>-250801</t>
    </r>
    <r>
      <rPr>
        <sz val="11"/>
        <color theme="1"/>
        <rFont val="Aptos Narrow"/>
        <family val="2"/>
        <scheme val="minor"/>
      </rPr>
      <t>-DTC</t>
    </r>
  </si>
  <si>
    <t>IRP DTC Name</t>
  </si>
  <si>
    <t>DTC</t>
  </si>
  <si>
    <t>DTC Hex Code</t>
  </si>
  <si>
    <t>Fault Type Byte (FTB)</t>
  </si>
  <si>
    <t>DTC Hex Code - REF</t>
  </si>
  <si>
    <t>P3317</t>
  </si>
  <si>
    <t>98</t>
  </si>
  <si>
    <t>9A</t>
  </si>
  <si>
    <t>09</t>
  </si>
  <si>
    <t>P3327</t>
  </si>
  <si>
    <t>P3321</t>
  </si>
  <si>
    <t>96</t>
  </si>
  <si>
    <t>1D</t>
  </si>
  <si>
    <t>91</t>
  </si>
  <si>
    <t>P3324</t>
  </si>
  <si>
    <t>13</t>
  </si>
  <si>
    <t>14</t>
  </si>
  <si>
    <t>P3328</t>
  </si>
  <si>
    <t>63</t>
  </si>
  <si>
    <t>16</t>
  </si>
  <si>
    <t>17</t>
  </si>
  <si>
    <t>P3338</t>
  </si>
  <si>
    <t>P3335</t>
  </si>
  <si>
    <t>44</t>
  </si>
  <si>
    <t>46</t>
  </si>
  <si>
    <t>P3312</t>
  </si>
  <si>
    <t>P3316</t>
  </si>
  <si>
    <t>93</t>
  </si>
  <si>
    <t>P3337</t>
  </si>
  <si>
    <t>92</t>
  </si>
  <si>
    <t>86</t>
  </si>
  <si>
    <t>P3311</t>
  </si>
  <si>
    <t>8F</t>
  </si>
  <si>
    <t>UD333</t>
  </si>
  <si>
    <t>94</t>
  </si>
  <si>
    <t>Type</t>
  </si>
  <si>
    <t>P</t>
  </si>
  <si>
    <t>C</t>
  </si>
  <si>
    <t>B</t>
  </si>
  <si>
    <t>U</t>
  </si>
  <si>
    <t>Yacob Hassidim</t>
  </si>
  <si>
    <t>IRP DTC Name Original</t>
  </si>
  <si>
    <t>MCU_Data_Fault_EEPROM</t>
  </si>
  <si>
    <t>The columns DTC, FTB, and DTC Hex code have been added or updated.
The columns DTC and FTB were prepared in the sheet "DTC and FTB Calculation" and copied to DTCs sheet.
The column "IRP DTC Name" has been changed according to the fault names in faults.h.
The sheet DTCs is used by the script file gen_fault_table.py to generate the Gen_Fault_Table.h header file.
gen_fault_table.py exists in Dynamic_Project\Dynamic_Core\scripts.
The Gen_Fault_Table.h header file exists in Dynamic_Project\src.</t>
  </si>
  <si>
    <t>Pre_Charge_TempSensor_Failure</t>
  </si>
  <si>
    <t>Perf_DC_OverCurrent</t>
  </si>
  <si>
    <t>Pre_Charge_Under_Voltage</t>
  </si>
  <si>
    <t>Ignition_Key_Fault</t>
  </si>
  <si>
    <t>CAN_No_Comm</t>
  </si>
  <si>
    <t>CAN_Timeout</t>
  </si>
  <si>
    <t>Perf_Derating_I2T</t>
  </si>
  <si>
    <t>Pre_Charge_Over_Temp_Pbit</t>
  </si>
  <si>
    <t>MCU_UV_Fault_Threshold1</t>
  </si>
  <si>
    <t>MCU_OV_Fault_Threshold1</t>
  </si>
  <si>
    <t>F33300</t>
  </si>
  <si>
    <t>F33387</t>
  </si>
  <si>
    <t>33274B</t>
  </si>
  <si>
    <t>UF333</t>
  </si>
  <si>
    <t>Added  S.No 35-45</t>
  </si>
  <si>
    <t>Pre_Charge_Temp_Sensor_Failure</t>
  </si>
  <si>
    <t>Bus_Over_Current</t>
  </si>
  <si>
    <t>Bus_Current_Sensor_Failure</t>
  </si>
  <si>
    <t>KSI_Under_Voltage</t>
  </si>
  <si>
    <t>I2T_Derating</t>
  </si>
  <si>
    <t>Perf_Derate_Bus_UnderVoltage</t>
  </si>
  <si>
    <t>Perf_Derate_Bus_OverVoltage</t>
  </si>
  <si>
    <t>00-B2</t>
  </si>
  <si>
    <t>00-B1</t>
  </si>
  <si>
    <t>MCU_UV_Fault_Threshold2</t>
  </si>
  <si>
    <t>33281C</t>
  </si>
  <si>
    <t>MCU_OV_Fault_Threshold2</t>
  </si>
  <si>
    <t>33289A</t>
  </si>
  <si>
    <t>BAT Under Voltage_derat_cut</t>
  </si>
  <si>
    <t>BAT Over Voltage_derat_cut</t>
  </si>
  <si>
    <t>MCU_Board_OT_Fault_Threshold1</t>
  </si>
  <si>
    <t>Motor_OT_Fault_Threshold1</t>
  </si>
  <si>
    <t>33174B</t>
  </si>
  <si>
    <t>MCU Over Temp_dreat_start</t>
  </si>
  <si>
    <t>MCU Over Temp_derat_cut</t>
  </si>
  <si>
    <t>Motor Over Temp_derat_start</t>
  </si>
  <si>
    <t>Motor Over Temp_derat_cut</t>
  </si>
  <si>
    <t>FAULT_Project0</t>
  </si>
  <si>
    <t>FAULT_Project2</t>
  </si>
  <si>
    <t>FAULT_Project4</t>
  </si>
  <si>
    <t>FAULT_Project5</t>
  </si>
  <si>
    <t>FAULT_Project6</t>
  </si>
  <si>
    <t>FAULT_Project7</t>
  </si>
  <si>
    <t>FAULT_Project8</t>
  </si>
  <si>
    <t>00-B3</t>
  </si>
  <si>
    <t>Added  S.No 46-53
Changed DBC Signal in S.No 1,4</t>
  </si>
  <si>
    <t>4B</t>
  </si>
  <si>
    <t>00-B4</t>
  </si>
  <si>
    <t xml:space="preserve">Remouved 5 unneccery lines </t>
  </si>
  <si>
    <t>FAULT_MotorTempSensor</t>
  </si>
  <si>
    <t>FAULT_ControllerOverTemp</t>
  </si>
  <si>
    <t>FAULT_ControllerLowTemp</t>
  </si>
  <si>
    <t>FAULT_ControllerTempSensor</t>
  </si>
  <si>
    <t>FAULT_Phase_U_OverCurrentPeak</t>
  </si>
  <si>
    <t>FAULT_Phase_U_Sensor</t>
  </si>
  <si>
    <t>FAULT_Phase_V_OverCurrentPeak</t>
  </si>
  <si>
    <t>FAULT_Phase_V_Sensor</t>
  </si>
  <si>
    <t>FAULT_Phase_W_OverCurrentPeak</t>
  </si>
  <si>
    <t>FAULT_Phase_U_Disconnected</t>
  </si>
  <si>
    <t>FAULT_Phase_V_Disconnected</t>
  </si>
  <si>
    <t>FAULT_Phase_W_Disconnected</t>
  </si>
  <si>
    <t>FAULT_PreChargeLatch</t>
  </si>
  <si>
    <t>FAULT_BusLowVoltage</t>
  </si>
  <si>
    <t>FAULT_BusHighVoltage</t>
  </si>
  <si>
    <t>FAULT_GateDriverVoltage</t>
  </si>
  <si>
    <t>FAULT_MemoryRead</t>
  </si>
  <si>
    <t>FAULT_CurrentFactory</t>
  </si>
  <si>
    <t>FAULT_PositionSensor</t>
  </si>
  <si>
    <t>FAULT_PerfDeratingBusVoltage</t>
  </si>
  <si>
    <t>FAULT_CanMb0Timeout</t>
  </si>
  <si>
    <t>FAULT_CanMb1Timeout</t>
  </si>
  <si>
    <t>FAULT_CanMb2Timeout</t>
  </si>
  <si>
    <t>FAULT_PreChargeTempSensor</t>
  </si>
  <si>
    <t>FAULT_BusCurrentSensor</t>
  </si>
  <si>
    <t>FAULT_VswUnderVoltage</t>
  </si>
  <si>
    <t>FAULT_CanNoCom</t>
  </si>
  <si>
    <t>FAULT_I2T</t>
  </si>
  <si>
    <t>FAULT_PreChargeOverTempCbit</t>
  </si>
  <si>
    <t>FAULT_Project1</t>
  </si>
  <si>
    <t>FAULT_Project3</t>
  </si>
  <si>
    <t>MCU_Board_UT_Fault_Threshold1</t>
  </si>
  <si>
    <t>Motor_UT_Fault_Threshold1</t>
  </si>
  <si>
    <t>FAULT_CanTimeout</t>
  </si>
  <si>
    <t>0x331793</t>
  </si>
  <si>
    <t>0x332794</t>
  </si>
  <si>
    <t>FAULT_Project11</t>
  </si>
  <si>
    <t>FAULT_Project10</t>
  </si>
  <si>
    <t>MCU Under Temp_derat_Start</t>
  </si>
  <si>
    <t>Motor Under Temp_derat_Start</t>
  </si>
  <si>
    <t>00-C</t>
  </si>
  <si>
    <t xml:space="preserve">Updated IRP DTC Name's </t>
  </si>
  <si>
    <t>00-C1</t>
  </si>
  <si>
    <t>Added  S.No 48-49</t>
  </si>
  <si>
    <t>CAN_VCU6_100_Timeout</t>
  </si>
  <si>
    <t>00-C2</t>
  </si>
  <si>
    <r>
      <t>Changed S.No 30</t>
    </r>
    <r>
      <rPr>
        <strike/>
        <sz val="11"/>
        <color theme="1"/>
        <rFont val="Aptos Narrow"/>
        <family val="2"/>
        <scheme val="minor"/>
      </rPr>
      <t xml:space="preserve"> CAN_VCU8_100_Timeout</t>
    </r>
    <r>
      <rPr>
        <sz val="11"/>
        <color theme="1"/>
        <rFont val="Aptos Narrow"/>
        <family val="2"/>
        <scheme val="minor"/>
      </rPr>
      <t xml:space="preserve">   to CAN_VCU6_100_Timeout</t>
    </r>
  </si>
  <si>
    <t>80F0</t>
  </si>
  <si>
    <t>00-C3</t>
  </si>
  <si>
    <t>81F9</t>
  </si>
  <si>
    <t>Pre-Charge Temp (raw data) &gt;  Estimated_5v – Temp_Validity_Threshold (0.1v)
OR
Pre-Charge Temp (raw data) &lt;  Temp_Validity_Threshold
OR
Abs. diff. between Pre-Charge Temp value to prev. value (filtered) &gt; 20°C[10ms]</t>
  </si>
  <si>
    <t>[10ms]</t>
  </si>
  <si>
    <t>INIT operation state only</t>
  </si>
  <si>
    <t>NO</t>
  </si>
  <si>
    <t xml:space="preserve">Set IQ command to 0A </t>
  </si>
  <si>
    <t xml:space="preserve">S.No 26-27 Added  IRP Code [HEX]
S.No 31-49 Added  IRP Code [HEX] </t>
  </si>
  <si>
    <t>81F1</t>
  </si>
  <si>
    <t>81F3</t>
  </si>
  <si>
    <t>80F2</t>
  </si>
  <si>
    <t>80F4</t>
  </si>
  <si>
    <t>81F6</t>
  </si>
  <si>
    <t>81F5</t>
  </si>
  <si>
    <t>80F7</t>
  </si>
  <si>
    <t>80F8</t>
  </si>
  <si>
    <t>81FA</t>
  </si>
  <si>
    <t>80FB</t>
  </si>
  <si>
    <r>
      <t xml:space="preserve">HV Battery Current (not filtered, abs.) &gt; </t>
    </r>
    <r>
      <rPr>
        <i/>
        <sz val="10"/>
        <color rgb="FF292A2E"/>
        <rFont val="Segoe UI"/>
        <family val="2"/>
      </rPr>
      <t>Max_Battery_Current (</t>
    </r>
    <r>
      <rPr>
        <sz val="10"/>
        <color rgb="FF292A2E"/>
        <rFont val="Segoe UI"/>
        <family val="2"/>
      </rPr>
      <t>400)</t>
    </r>
  </si>
  <si>
    <t>[approx. 0.66ms]</t>
  </si>
  <si>
    <t xml:space="preserve">HV Battery Current exieds alowed threshhold </t>
  </si>
  <si>
    <t>Set freewheeling (disable PWM)
If ASC Enable = ENABLE, set ASC</t>
  </si>
  <si>
    <t>HV Battery Current (raw data) &lt; 0.2VDC
OR
HV Battery Current (raw data) &gt; 4.8VDC
OR
HV Battery Current (raw data) offset voltage &gt; 2.5VDC ± 0.61VDC</t>
  </si>
  <si>
    <t>Set IQ command to 0A</t>
  </si>
  <si>
    <r>
      <t xml:space="preserve">INIT </t>
    </r>
    <r>
      <rPr>
        <b/>
        <sz val="10"/>
        <color rgb="FF292A2E"/>
        <rFont val="Segoe UI"/>
        <family val="2"/>
      </rPr>
      <t>OR</t>
    </r>
    <r>
      <rPr>
        <sz val="10"/>
        <color rgb="FF292A2E"/>
        <rFont val="Segoe UI"/>
        <family val="2"/>
      </rPr>
      <t xml:space="preserve"> PRE-CHARGE operation states only</t>
    </r>
  </si>
  <si>
    <t xml:space="preserve">
VSW &gt; 35VDC (including timeout filter)
AND
HV Battery Voltage (VBUS IN) &lt;= Battery_Min_Voltage during the detection time filter (once the Battery voltage &gt; Battery_Min_Voltage stop monitoring)</t>
  </si>
  <si>
    <t>Up to 3.5 seconds</t>
  </si>
  <si>
    <t xml:space="preserve">HV Battery Voltage is below allowed thershhold </t>
  </si>
  <si>
    <t>VSW &lt; 9.5VDC</t>
  </si>
  <si>
    <t>VSW &gt; 11VDC</t>
  </si>
  <si>
    <t>yes</t>
  </si>
  <si>
    <t>If the motor speed &lt; 5rpm and pre-charge completed, transition to SHUTDOWN (and perform active capacitors discharge)
If the motor speed &lt; 5rpm and pre-charge not completed (INIT), do not perform the pre-charge  and enter FAULT state</t>
  </si>
  <si>
    <t>No valid messages received via CAN Bus after initialization</t>
  </si>
  <si>
    <t>12 consecutive seconds</t>
  </si>
  <si>
    <t>Any of the following faults/warnings is active:
#8082 – CAN Msg. VCU1_20 Timeout
#8083 – CAN Msg. VCU3_100 Timeout
#8085 – Can Msg. VCU8_100 Timeout</t>
  </si>
  <si>
    <t>Immediately per detection</t>
  </si>
  <si>
    <t>1 consecutive second</t>
  </si>
  <si>
    <t>All faults/warnings are cleared</t>
  </si>
  <si>
    <r>
      <t>Pre-charge Temp &gt;= Pre_Charge</t>
    </r>
    <r>
      <rPr>
        <i/>
        <sz val="10"/>
        <color theme="1"/>
        <rFont val="Calibri"/>
        <family val="2"/>
      </rPr>
      <t>_Max_Temp_Limit</t>
    </r>
  </si>
  <si>
    <r>
      <t>Pre-charge Temp &gt;= Pre_Charge</t>
    </r>
    <r>
      <rPr>
        <i/>
        <sz val="10"/>
        <color theme="1"/>
        <rFont val="Calibri"/>
        <family val="2"/>
      </rPr>
      <t>_Max_Temp_Limit</t>
    </r>
    <r>
      <rPr>
        <sz val="10"/>
        <color theme="1"/>
        <rFont val="Calibri"/>
        <family val="2"/>
      </rPr>
      <t xml:space="preserve"> (100°C)</t>
    </r>
  </si>
  <si>
    <r>
      <t xml:space="preserve">Battery Voltage (VBUS_In, not filtered) &lt; </t>
    </r>
    <r>
      <rPr>
        <b/>
        <i/>
        <sz val="10"/>
        <color rgb="FF292A2E"/>
        <rFont val="Segoe UI"/>
        <family val="2"/>
      </rPr>
      <t>44</t>
    </r>
  </si>
  <si>
    <t>[3ms]</t>
  </si>
  <si>
    <t>Operation State is not SHUTDOWN (Active Capacitors Discharge is not operating)</t>
  </si>
  <si>
    <r>
      <t xml:space="preserve">Battery Voltage (VBUS_In, not filtered) &gt; </t>
    </r>
    <r>
      <rPr>
        <b/>
        <i/>
        <sz val="10"/>
        <color rgb="FF292A2E"/>
        <rFont val="Segoe UI"/>
        <family val="2"/>
      </rPr>
      <t>44</t>
    </r>
  </si>
  <si>
    <t>start derating</t>
  </si>
  <si>
    <r>
      <t xml:space="preserve">Battery Voltage (VBUS_In, not filtered) &gt; </t>
    </r>
    <r>
      <rPr>
        <b/>
        <i/>
        <sz val="10"/>
        <color rgb="FF292A2E"/>
        <rFont val="Segoe UI"/>
        <family val="2"/>
      </rPr>
      <t>60</t>
    </r>
  </si>
  <si>
    <r>
      <t xml:space="preserve">Battery Voltage (VBUS_In, not filtered) &lt; </t>
    </r>
    <r>
      <rPr>
        <b/>
        <i/>
        <sz val="10"/>
        <color rgb="FF292A2E"/>
        <rFont val="Segoe UI"/>
        <family val="2"/>
      </rPr>
      <t>60</t>
    </r>
  </si>
  <si>
    <r>
      <t xml:space="preserve">Battery Voltage (VBUS_In, not filtered) &lt; </t>
    </r>
    <r>
      <rPr>
        <b/>
        <i/>
        <sz val="10"/>
        <color rgb="FF292A2E"/>
        <rFont val="Segoe UI"/>
        <family val="2"/>
      </rPr>
      <t>40</t>
    </r>
  </si>
  <si>
    <r>
      <t xml:space="preserve">Battery Voltage (VBUS_In, not filtered) &gt; </t>
    </r>
    <r>
      <rPr>
        <b/>
        <i/>
        <sz val="10"/>
        <color rgb="FF292A2E"/>
        <rFont val="Segoe UI"/>
        <family val="2"/>
      </rPr>
      <t>40</t>
    </r>
  </si>
  <si>
    <t xml:space="preserve">100%DERATING
Torque cmd = 0Nm
</t>
  </si>
  <si>
    <t>Battery Voltage (VBUS_In, not filtered) &gt; 61.5</t>
  </si>
  <si>
    <r>
      <t xml:space="preserve">Battery Voltage (VBUS_In, not filtered) &gt; </t>
    </r>
    <r>
      <rPr>
        <b/>
        <i/>
        <sz val="10"/>
        <color rgb="FF292A2E"/>
        <rFont val="Segoe UI"/>
        <family val="2"/>
      </rPr>
      <t>61.5</t>
    </r>
  </si>
  <si>
    <r>
      <t xml:space="preserve">Battery Voltage (VBUS_In, not filtered) &lt; </t>
    </r>
    <r>
      <rPr>
        <b/>
        <i/>
        <sz val="10"/>
        <color rgb="FF292A2E"/>
        <rFont val="Segoe UI"/>
        <family val="2"/>
      </rPr>
      <t>61.5</t>
    </r>
  </si>
  <si>
    <t>MCU_TempSensor_Failure =0 (NOT ACTIVE)</t>
  </si>
  <si>
    <t>MCU Temp &gt;= 90 Deg C</t>
  </si>
  <si>
    <t>MCU Temp &lt; 90 Deg C
OR
MCU_TempSensor_Failure =1 (ACTIVE)</t>
  </si>
  <si>
    <t>MCU Temp &gt;= 80 Deg C</t>
  </si>
  <si>
    <t>MCU Temp &lt; 80 Deg C
OR
MCU_TempSensor_Failure =1 (ACTIVE)</t>
  </si>
  <si>
    <t>Motor_TempSensor_Failure =0 (NOT ACTIVE)</t>
  </si>
  <si>
    <t>Motor Temp &gt;=  145 Deg C</t>
  </si>
  <si>
    <t>Motor Temp &lt; 145 Deg C
OR
Motor_TempSensor_Failure =1 (ACTIVE)</t>
  </si>
  <si>
    <t>Motor Temp &gt;=  155 Deg C</t>
  </si>
  <si>
    <t>Motor Temp &lt; 155 Deg C
OR
Motor_TempSensor_Failure =1 (ACTIVE)</t>
  </si>
  <si>
    <t>Motor Temp &lt; -20</t>
  </si>
  <si>
    <t>MCU Temp &gt;= -10</t>
  </si>
  <si>
    <t>MCU Temp &lt; -10</t>
  </si>
  <si>
    <t>Motor Temp &gt;= -20
OR
Motor_TempSensor_Failure =1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</si>
</sst>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Aptos Narrow"/>
      <family val="2"/>
      <scheme val="minor"/>
    </font>
    <font>
      <b/>
      <sz val="11"/>
      <color theme="1"/>
      <name val="Aptos Narrow"/>
      <family val="2"/>
      <scheme val="minor"/>
    </font>
    <font>
      <sz val="12"/>
      <color theme="1"/>
      <name val="Aptos Display"/>
      <family val="2"/>
      <scheme val="major"/>
    </font>
    <font>
      <sz val="11"/>
      <name val="Aptos Narrow"/>
      <family val="2"/>
      <scheme val="minor"/>
    </font>
    <font>
      <sz val="8"/>
      <name val="Aptos Narrow"/>
      <family val="2"/>
      <scheme val="minor"/>
    </font>
    <font>
      <sz val="11"/>
      <color rgb="FF000000"/>
      <name val="Aptos Narrow"/>
      <family val="2"/>
      <scheme val="minor"/>
    </font>
    <font>
      <strike/>
      <sz val="11"/>
      <color theme="1"/>
      <name val="Aptos Narrow"/>
      <family val="2"/>
      <scheme val="minor"/>
    </font>
    <font>
      <sz val="10"/>
      <color rgb="FF292A2E"/>
      <name val="Segoe UI"/>
      <family val="2"/>
    </font>
    <font>
      <i/>
      <sz val="10"/>
      <color rgb="FF292A2E"/>
      <name val="Segoe UI"/>
      <family val="2"/>
    </font>
    <font>
      <b/>
      <sz val="10"/>
      <color rgb="FF292A2E"/>
      <name val="Segoe UI"/>
      <family val="2"/>
    </font>
    <font>
      <sz val="10"/>
      <color theme="1"/>
      <name val="Calibri"/>
      <family val="2"/>
    </font>
    <font>
      <i/>
      <sz val="10"/>
      <color theme="1"/>
      <name val="Calibri"/>
      <family val="2"/>
    </font>
    <font>
      <b/>
      <i/>
      <sz val="10"/>
      <color rgb="FF292A2E"/>
      <name val="Segoe UI"/>
      <family val="2"/>
    </font>
  </fonts>
  <fills count="7">
    <fill>
      <patternFill patternType="none"/>
    </fill>
    <fill>
      <patternFill patternType="gray125"/>
    </fill>
    <fill>
      <patternFill patternType="solid">
        <fgColor theme="7"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5">
    <xf numFmtId="0" fontId="0" fillId="0" borderId="0" xfId="0"/>
    <xf numFmtId="0" fontId="2" fillId="0" borderId="1" xfId="0" applyFont="1" applyBorder="1" applyAlignment="1">
      <alignment horizontal="left" vertical="top" wrapText="1"/>
    </xf>
    <xf numFmtId="0" fontId="0" fillId="0" borderId="1" xfId="0" applyBorder="1" applyAlignment="1">
      <alignment horizontal="left" vertical="top" wrapText="1"/>
    </xf>
    <xf numFmtId="164" fontId="2" fillId="0" borderId="1" xfId="0" applyNumberFormat="1" applyFont="1" applyBorder="1" applyAlignment="1">
      <alignment horizontal="left" vertical="top" wrapText="1"/>
    </xf>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0" fillId="0" borderId="1" xfId="0" applyBorder="1" applyAlignment="1">
      <alignment horizontal="center" vertical="top"/>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1" fillId="2" borderId="2" xfId="0" applyFont="1" applyFill="1" applyBorder="1" applyAlignment="1">
      <alignment horizontal="center" vertical="top" wrapText="1"/>
    </xf>
    <xf numFmtId="0" fontId="2" fillId="0" borderId="0" xfId="0" applyFont="1" applyAlignment="1">
      <alignment horizontal="left" vertical="top" wrapText="1"/>
    </xf>
    <xf numFmtId="0" fontId="0" fillId="0" borderId="1" xfId="0" applyBorder="1" applyAlignment="1">
      <alignment horizontal="center" vertical="top" wrapText="1"/>
    </xf>
    <xf numFmtId="14" fontId="0" fillId="0" borderId="1" xfId="0" applyNumberFormat="1" applyBorder="1" applyAlignment="1">
      <alignment horizontal="center" vertical="center"/>
    </xf>
    <xf numFmtId="0" fontId="0" fillId="0" borderId="1" xfId="0" applyBorder="1"/>
    <xf numFmtId="164" fontId="2"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0" fillId="0" borderId="1" xfId="0" applyBorder="1" applyAlignment="1">
      <alignment wrapText="1"/>
    </xf>
    <xf numFmtId="0" fontId="0" fillId="3" borderId="0" xfId="0" applyFill="1"/>
    <xf numFmtId="0" fontId="0" fillId="3" borderId="1" xfId="0" applyFill="1" applyBorder="1"/>
    <xf numFmtId="0" fontId="0" fillId="3" borderId="1" xfId="0" applyFill="1" applyBorder="1" applyAlignment="1">
      <alignment horizontal="left" vertical="top" wrapText="1"/>
    </xf>
    <xf numFmtId="0" fontId="3" fillId="3" borderId="1" xfId="0" applyFont="1" applyFill="1" applyBorder="1" applyAlignment="1">
      <alignment horizontal="left" vertical="top" wrapText="1"/>
    </xf>
    <xf numFmtId="0" fontId="5" fillId="3" borderId="1" xfId="0" applyFont="1" applyFill="1" applyBorder="1"/>
    <xf numFmtId="0" fontId="2" fillId="5" borderId="1" xfId="0" applyFont="1" applyFill="1" applyBorder="1" applyAlignment="1">
      <alignment horizontal="center" vertical="center"/>
    </xf>
    <xf numFmtId="0" fontId="0" fillId="5" borderId="1" xfId="0" applyFill="1" applyBorder="1" applyAlignment="1">
      <alignment horizontal="left" vertical="top" wrapText="1"/>
    </xf>
    <xf numFmtId="0" fontId="2" fillId="5" borderId="1" xfId="0" applyFont="1" applyFill="1" applyBorder="1" applyAlignment="1">
      <alignment horizontal="left" vertical="top" wrapText="1"/>
    </xf>
    <xf numFmtId="0" fontId="0" fillId="6" borderId="1" xfId="0" applyFill="1" applyBorder="1" applyAlignment="1">
      <alignment horizontal="left" vertical="top" wrapText="1"/>
    </xf>
    <xf numFmtId="0" fontId="2" fillId="6" borderId="1" xfId="0" applyFont="1" applyFill="1" applyBorder="1" applyAlignment="1">
      <alignment horizontal="center" vertical="center"/>
    </xf>
    <xf numFmtId="0" fontId="2" fillId="6" borderId="1" xfId="0" applyFont="1" applyFill="1" applyBorder="1" applyAlignment="1">
      <alignment horizontal="left" vertical="top" wrapText="1"/>
    </xf>
    <xf numFmtId="0" fontId="5" fillId="6" borderId="1" xfId="0" applyFont="1" applyFill="1" applyBorder="1"/>
    <xf numFmtId="0" fontId="5" fillId="5" borderId="1" xfId="0" applyFont="1" applyFill="1" applyBorder="1"/>
    <xf numFmtId="0" fontId="0" fillId="0" borderId="1" xfId="0" applyBorder="1" applyAlignment="1">
      <alignment horizontal="left"/>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1" fillId="4" borderId="1" xfId="0" applyFont="1" applyFill="1" applyBorder="1" applyAlignment="1">
      <alignment horizontal="center" vertical="top" wrapText="1"/>
    </xf>
    <xf numFmtId="0" fontId="1" fillId="4" borderId="1" xfId="0" applyFont="1" applyFill="1" applyBorder="1" applyAlignment="1">
      <alignment horizontal="left" vertical="top" wrapText="1"/>
    </xf>
    <xf numFmtId="165" fontId="0" fillId="0" borderId="1" xfId="0" applyNumberFormat="1" applyBorder="1" applyAlignment="1">
      <alignment horizontal="center" vertical="top"/>
    </xf>
    <xf numFmtId="165" fontId="0" fillId="0" borderId="1" xfId="0" applyNumberFormat="1" applyBorder="1" applyAlignment="1">
      <alignment horizontal="left" vertical="top"/>
    </xf>
    <xf numFmtId="0" fontId="7" fillId="0" borderId="0" xfId="0" applyFont="1"/>
    <xf numFmtId="0" fontId="7" fillId="0" borderId="0" xfId="0" applyFont="1" applyAlignment="1">
      <alignment wrapText="1"/>
    </xf>
    <xf numFmtId="0" fontId="7" fillId="0" borderId="0" xfId="0" applyFont="1" applyAlignment="1">
      <alignment horizontal="left" vertical="center"/>
    </xf>
    <xf numFmtId="0" fontId="7" fillId="0" borderId="0" xfId="0" applyFont="1" applyAlignment="1">
      <alignment horizontal="left" vertical="center" wrapText="1"/>
    </xf>
    <xf numFmtId="0" fontId="2" fillId="3" borderId="1"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9273A-BD3A-43F4-8B8A-2AD55016EA0B}">
  <dimension ref="A1:E12"/>
  <sheetViews>
    <sheetView workbookViewId="0">
      <selection activeCell="D15" sqref="D15"/>
    </sheetView>
  </sheetViews>
  <sheetFormatPr defaultRowHeight="14.4" x14ac:dyDescent="0.3"/>
  <cols>
    <col min="1" max="1" width="15.88671875" customWidth="1"/>
    <col min="2" max="2" width="16.5546875" customWidth="1"/>
    <col min="3" max="3" width="67.33203125" customWidth="1"/>
    <col min="5" max="5" width="14.33203125" customWidth="1"/>
  </cols>
  <sheetData>
    <row r="1" spans="1:5" x14ac:dyDescent="0.3">
      <c r="A1" s="36" t="s">
        <v>196</v>
      </c>
      <c r="B1" s="36"/>
      <c r="C1" s="37" t="s">
        <v>197</v>
      </c>
      <c r="D1" s="37"/>
      <c r="E1" s="37"/>
    </row>
    <row r="2" spans="1:5" x14ac:dyDescent="0.3">
      <c r="A2" s="38" t="s">
        <v>210</v>
      </c>
      <c r="B2" s="38"/>
      <c r="C2" s="39" t="s">
        <v>206</v>
      </c>
      <c r="D2" s="39"/>
      <c r="E2" s="39"/>
    </row>
    <row r="3" spans="1:5" ht="19.2" customHeight="1" x14ac:dyDescent="0.3">
      <c r="A3" s="6" t="s">
        <v>198</v>
      </c>
      <c r="B3" s="6" t="s">
        <v>199</v>
      </c>
      <c r="C3" s="6" t="s">
        <v>200</v>
      </c>
      <c r="D3" s="6" t="s">
        <v>201</v>
      </c>
      <c r="E3" s="6" t="s">
        <v>202</v>
      </c>
    </row>
    <row r="4" spans="1:5" ht="20.399999999999999" customHeight="1" x14ac:dyDescent="0.3">
      <c r="A4" s="34" t="s">
        <v>203</v>
      </c>
      <c r="B4" s="13">
        <v>45708</v>
      </c>
      <c r="C4" s="2" t="s">
        <v>204</v>
      </c>
      <c r="D4" s="7" t="s">
        <v>205</v>
      </c>
      <c r="E4" s="7"/>
    </row>
    <row r="5" spans="1:5" ht="129.6" x14ac:dyDescent="0.3">
      <c r="A5" s="34" t="s">
        <v>278</v>
      </c>
      <c r="B5" s="13">
        <v>45712</v>
      </c>
      <c r="C5" s="2" t="s">
        <v>254</v>
      </c>
      <c r="D5" s="12" t="s">
        <v>251</v>
      </c>
      <c r="E5" s="7"/>
    </row>
    <row r="6" spans="1:5" x14ac:dyDescent="0.3">
      <c r="A6" s="35" t="s">
        <v>277</v>
      </c>
      <c r="B6" s="13">
        <v>45803</v>
      </c>
      <c r="C6" s="14" t="s">
        <v>269</v>
      </c>
      <c r="D6" s="7" t="s">
        <v>205</v>
      </c>
      <c r="E6" s="14"/>
    </row>
    <row r="7" spans="1:5" ht="28.8" x14ac:dyDescent="0.3">
      <c r="A7" s="35" t="s">
        <v>299</v>
      </c>
      <c r="B7" s="13">
        <v>45806</v>
      </c>
      <c r="C7" s="19" t="s">
        <v>300</v>
      </c>
      <c r="D7" s="7" t="s">
        <v>205</v>
      </c>
      <c r="E7" s="14"/>
    </row>
    <row r="8" spans="1:5" x14ac:dyDescent="0.3">
      <c r="A8" s="35" t="s">
        <v>302</v>
      </c>
      <c r="B8" s="13">
        <v>45806</v>
      </c>
      <c r="C8" s="14" t="s">
        <v>303</v>
      </c>
      <c r="D8" s="7" t="s">
        <v>205</v>
      </c>
      <c r="E8" s="14"/>
    </row>
    <row r="9" spans="1:5" x14ac:dyDescent="0.3">
      <c r="A9" s="35" t="s">
        <v>344</v>
      </c>
      <c r="B9" s="13">
        <v>45813</v>
      </c>
      <c r="C9" s="14" t="s">
        <v>345</v>
      </c>
      <c r="D9" s="7" t="s">
        <v>205</v>
      </c>
      <c r="E9" s="14"/>
    </row>
    <row r="10" spans="1:5" x14ac:dyDescent="0.3">
      <c r="A10" s="35" t="s">
        <v>346</v>
      </c>
      <c r="B10" s="13">
        <v>45813</v>
      </c>
      <c r="C10" s="14" t="s">
        <v>347</v>
      </c>
      <c r="D10" s="7" t="s">
        <v>205</v>
      </c>
      <c r="E10" s="14"/>
    </row>
    <row r="11" spans="1:5" x14ac:dyDescent="0.3">
      <c r="A11" s="35" t="s">
        <v>349</v>
      </c>
      <c r="B11" s="13">
        <v>45827</v>
      </c>
      <c r="C11" s="14" t="s">
        <v>350</v>
      </c>
      <c r="D11" s="7" t="s">
        <v>205</v>
      </c>
      <c r="E11" s="14"/>
    </row>
    <row r="12" spans="1:5" ht="28.8" x14ac:dyDescent="0.3">
      <c r="A12" s="35" t="s">
        <v>352</v>
      </c>
      <c r="B12" s="13">
        <v>45869</v>
      </c>
      <c r="C12" s="19" t="s">
        <v>359</v>
      </c>
      <c r="D12" s="7" t="s">
        <v>205</v>
      </c>
      <c r="E12" s="14"/>
    </row>
  </sheetData>
  <mergeCells count="4">
    <mergeCell ref="A1:B1"/>
    <mergeCell ref="C1:E1"/>
    <mergeCell ref="A2:B2"/>
    <mergeCell ref="C2:E2"/>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F7FA5-DCE0-4742-AEDB-05EFCF0F7B76}">
  <dimension ref="A2:W57"/>
  <sheetViews>
    <sheetView tabSelected="1" zoomScale="40" zoomScaleNormal="40" workbookViewId="0">
      <pane ySplit="2" topLeftCell="A3" activePane="bottomLeft" state="frozen"/>
      <selection activeCell="N1" sqref="N1"/>
      <selection pane="bottomLeft" activeCell="N39" sqref="N39"/>
    </sheetView>
  </sheetViews>
  <sheetFormatPr defaultRowHeight="14.4" x14ac:dyDescent="0.3"/>
  <cols>
    <col min="1" max="1" width="5.6640625" customWidth="1"/>
    <col min="3" max="3" width="8.88671875" customWidth="1"/>
    <col min="5" max="5" width="10.44140625" customWidth="1"/>
    <col min="7" max="7" width="16.109375" customWidth="1"/>
    <col min="8" max="8" width="35.88671875" customWidth="1"/>
    <col min="9" max="9" width="34.33203125" customWidth="1"/>
    <col min="10" max="10" width="32.6640625" customWidth="1"/>
    <col min="11" max="11" width="23.21875" customWidth="1"/>
    <col min="12" max="13" width="13.44140625" customWidth="1"/>
    <col min="14" max="14" width="16.33203125" customWidth="1"/>
    <col min="15" max="15" width="17.33203125" customWidth="1"/>
    <col min="16" max="16" width="19.6640625" customWidth="1"/>
    <col min="17" max="17" width="12.6640625" customWidth="1"/>
    <col min="19" max="19" width="21.21875" customWidth="1"/>
    <col min="20" max="20" width="15.33203125" customWidth="1"/>
    <col min="21" max="21" width="9.6640625" customWidth="1"/>
    <col min="23" max="23" width="8.33203125" customWidth="1"/>
  </cols>
  <sheetData>
    <row r="2" spans="1:23" ht="42" customHeight="1" x14ac:dyDescent="0.3">
      <c r="A2" s="4" t="s">
        <v>0</v>
      </c>
      <c r="B2" s="4" t="s">
        <v>1</v>
      </c>
      <c r="C2" s="4" t="s">
        <v>212</v>
      </c>
      <c r="D2" s="4" t="s">
        <v>214</v>
      </c>
      <c r="E2" s="4" t="s">
        <v>213</v>
      </c>
      <c r="F2" s="4" t="s">
        <v>215</v>
      </c>
      <c r="G2" s="4" t="s">
        <v>2</v>
      </c>
      <c r="H2" s="4" t="s">
        <v>211</v>
      </c>
      <c r="I2" s="4" t="s">
        <v>252</v>
      </c>
      <c r="J2" s="4" t="s">
        <v>3</v>
      </c>
      <c r="K2" s="4" t="s">
        <v>4</v>
      </c>
      <c r="L2" s="4" t="s">
        <v>5</v>
      </c>
      <c r="M2" s="4" t="s">
        <v>207</v>
      </c>
      <c r="N2" s="4" t="s">
        <v>6</v>
      </c>
      <c r="O2" s="4" t="s">
        <v>7</v>
      </c>
      <c r="P2" s="4" t="s">
        <v>8</v>
      </c>
      <c r="Q2" s="4" t="s">
        <v>9</v>
      </c>
      <c r="R2" s="4" t="s">
        <v>10</v>
      </c>
      <c r="S2" s="4" t="s">
        <v>11</v>
      </c>
      <c r="T2" s="4" t="s">
        <v>12</v>
      </c>
      <c r="U2" s="4" t="s">
        <v>13</v>
      </c>
      <c r="V2" s="4" t="s">
        <v>14</v>
      </c>
      <c r="W2" s="4" t="s">
        <v>15</v>
      </c>
    </row>
    <row r="3" spans="1:23" ht="45" customHeight="1" x14ac:dyDescent="0.3">
      <c r="A3" s="1">
        <v>1</v>
      </c>
      <c r="B3" s="1" t="s">
        <v>16</v>
      </c>
      <c r="C3" s="1" t="s">
        <v>216</v>
      </c>
      <c r="D3" s="1" t="s">
        <v>217</v>
      </c>
      <c r="E3" s="9" t="str">
        <f>CONCATENATE("0x", F3)</f>
        <v>0x331798</v>
      </c>
      <c r="F3" s="1">
        <v>331798</v>
      </c>
      <c r="G3" s="2">
        <v>8101</v>
      </c>
      <c r="H3" s="22" t="str">
        <f>CONCATENATE("FAULT_",SUBSTITUTE(SUBSTITUTE(I3," ",""),"_",""))</f>
        <v>FAULT_MotorOverTemp</v>
      </c>
      <c r="I3" s="1" t="s">
        <v>17</v>
      </c>
      <c r="J3" s="1" t="s">
        <v>17</v>
      </c>
      <c r="K3" s="1" t="s">
        <v>19</v>
      </c>
      <c r="L3" s="1" t="s">
        <v>20</v>
      </c>
      <c r="M3" s="1" t="s">
        <v>20</v>
      </c>
      <c r="N3" s="1" t="s">
        <v>21</v>
      </c>
      <c r="O3" s="1" t="s">
        <v>22</v>
      </c>
      <c r="P3" s="1" t="s">
        <v>23</v>
      </c>
      <c r="Q3" s="1" t="s">
        <v>24</v>
      </c>
      <c r="R3" s="1" t="s">
        <v>25</v>
      </c>
      <c r="S3" s="1" t="s">
        <v>26</v>
      </c>
      <c r="T3" s="1" t="s">
        <v>27</v>
      </c>
      <c r="U3" s="1" t="s">
        <v>28</v>
      </c>
      <c r="V3" s="1" t="s">
        <v>29</v>
      </c>
      <c r="W3" s="1" t="s">
        <v>30</v>
      </c>
    </row>
    <row r="4" spans="1:23" ht="39" customHeight="1" x14ac:dyDescent="0.3">
      <c r="A4" s="1">
        <v>2</v>
      </c>
      <c r="B4" s="1" t="s">
        <v>16</v>
      </c>
      <c r="C4" s="1" t="s">
        <v>216</v>
      </c>
      <c r="D4" s="1" t="s">
        <v>218</v>
      </c>
      <c r="E4" s="9" t="str">
        <f t="shared" ref="E4:E49" si="0">CONCATENATE("0x", F4)</f>
        <v>0x33179A</v>
      </c>
      <c r="F4" s="1" t="s">
        <v>31</v>
      </c>
      <c r="G4" s="2">
        <v>8109</v>
      </c>
      <c r="H4" s="22" t="str">
        <f>CONCATENATE("FAULT_",SUBSTITUTE(SUBSTITUTE(I4," ",""),"_",""))</f>
        <v>FAULT_MotorLowTemp</v>
      </c>
      <c r="I4" s="1" t="s">
        <v>32</v>
      </c>
      <c r="J4" s="1" t="s">
        <v>33</v>
      </c>
      <c r="K4" s="1" t="s">
        <v>19</v>
      </c>
      <c r="L4" s="1" t="s">
        <v>34</v>
      </c>
      <c r="M4" s="1" t="s">
        <v>20</v>
      </c>
      <c r="N4" s="1" t="s">
        <v>21</v>
      </c>
      <c r="O4" s="1" t="s">
        <v>35</v>
      </c>
      <c r="P4" s="1" t="s">
        <v>36</v>
      </c>
      <c r="Q4" s="1" t="s">
        <v>24</v>
      </c>
      <c r="R4" s="1" t="s">
        <v>25</v>
      </c>
      <c r="S4" s="1" t="s">
        <v>37</v>
      </c>
      <c r="T4" s="1" t="s">
        <v>27</v>
      </c>
      <c r="U4" s="1" t="s">
        <v>28</v>
      </c>
      <c r="V4" s="1" t="s">
        <v>29</v>
      </c>
      <c r="W4" s="1" t="s">
        <v>30</v>
      </c>
    </row>
    <row r="5" spans="1:23" ht="42" customHeight="1" x14ac:dyDescent="0.3">
      <c r="A5" s="1">
        <v>3</v>
      </c>
      <c r="B5" s="1" t="s">
        <v>16</v>
      </c>
      <c r="C5" s="1" t="s">
        <v>216</v>
      </c>
      <c r="D5" s="1" t="s">
        <v>219</v>
      </c>
      <c r="E5" s="9" t="str">
        <f t="shared" si="0"/>
        <v>0x331709</v>
      </c>
      <c r="F5" s="1">
        <v>331709</v>
      </c>
      <c r="G5" s="2">
        <v>8102</v>
      </c>
      <c r="H5" s="22" t="s">
        <v>304</v>
      </c>
      <c r="I5" s="1" t="s">
        <v>38</v>
      </c>
      <c r="J5" s="1" t="s">
        <v>39</v>
      </c>
      <c r="K5" s="1" t="s">
        <v>40</v>
      </c>
      <c r="L5" s="1" t="s">
        <v>34</v>
      </c>
      <c r="M5" s="1" t="s">
        <v>34</v>
      </c>
      <c r="N5" s="1" t="s">
        <v>21</v>
      </c>
      <c r="O5" s="1" t="s">
        <v>41</v>
      </c>
      <c r="P5" s="1" t="s">
        <v>42</v>
      </c>
      <c r="Q5" s="1" t="s">
        <v>43</v>
      </c>
      <c r="R5" s="1" t="s">
        <v>25</v>
      </c>
      <c r="S5" s="1" t="s">
        <v>44</v>
      </c>
      <c r="T5" s="1" t="s">
        <v>45</v>
      </c>
      <c r="U5" s="1" t="s">
        <v>28</v>
      </c>
      <c r="V5" s="1" t="s">
        <v>29</v>
      </c>
      <c r="W5" s="1" t="s">
        <v>30</v>
      </c>
    </row>
    <row r="6" spans="1:23" ht="54" customHeight="1" x14ac:dyDescent="0.3">
      <c r="A6" s="1">
        <v>4</v>
      </c>
      <c r="B6" s="1" t="s">
        <v>16</v>
      </c>
      <c r="C6" s="1" t="s">
        <v>220</v>
      </c>
      <c r="D6" s="1" t="s">
        <v>217</v>
      </c>
      <c r="E6" s="9" t="str">
        <f t="shared" si="0"/>
        <v>0x332798</v>
      </c>
      <c r="F6" s="1">
        <v>332798</v>
      </c>
      <c r="G6" s="2">
        <v>8103</v>
      </c>
      <c r="H6" s="23" t="s">
        <v>305</v>
      </c>
      <c r="I6" s="1" t="s">
        <v>46</v>
      </c>
      <c r="J6" s="1" t="s">
        <v>46</v>
      </c>
      <c r="K6" s="1" t="s">
        <v>48</v>
      </c>
      <c r="L6" s="1" t="s">
        <v>34</v>
      </c>
      <c r="M6" s="1" t="s">
        <v>34</v>
      </c>
      <c r="N6" s="1" t="s">
        <v>21</v>
      </c>
      <c r="O6" s="1" t="s">
        <v>49</v>
      </c>
      <c r="P6" s="1" t="s">
        <v>50</v>
      </c>
      <c r="Q6" s="1" t="s">
        <v>24</v>
      </c>
      <c r="R6" s="1" t="s">
        <v>25</v>
      </c>
      <c r="S6" s="1" t="s">
        <v>51</v>
      </c>
      <c r="T6" s="1" t="s">
        <v>27</v>
      </c>
      <c r="U6" s="1" t="s">
        <v>28</v>
      </c>
      <c r="V6" s="1" t="s">
        <v>52</v>
      </c>
      <c r="W6" s="1" t="s">
        <v>30</v>
      </c>
    </row>
    <row r="7" spans="1:23" ht="54.6" customHeight="1" x14ac:dyDescent="0.3">
      <c r="A7" s="1">
        <v>5</v>
      </c>
      <c r="B7" s="1" t="s">
        <v>16</v>
      </c>
      <c r="C7" s="1" t="s">
        <v>220</v>
      </c>
      <c r="D7" s="1" t="s">
        <v>218</v>
      </c>
      <c r="E7" s="9" t="str">
        <f t="shared" si="0"/>
        <v>0x33279A</v>
      </c>
      <c r="F7" s="1" t="s">
        <v>53</v>
      </c>
      <c r="G7" s="2" t="s">
        <v>54</v>
      </c>
      <c r="H7" s="22" t="s">
        <v>306</v>
      </c>
      <c r="I7" s="1" t="s">
        <v>55</v>
      </c>
      <c r="J7" s="1" t="s">
        <v>56</v>
      </c>
      <c r="K7" s="1" t="s">
        <v>48</v>
      </c>
      <c r="L7" s="1" t="s">
        <v>34</v>
      </c>
      <c r="M7" s="1" t="s">
        <v>34</v>
      </c>
      <c r="N7" s="1" t="s">
        <v>21</v>
      </c>
      <c r="O7" s="1" t="s">
        <v>57</v>
      </c>
      <c r="P7" s="1" t="s">
        <v>58</v>
      </c>
      <c r="Q7" s="1" t="s">
        <v>24</v>
      </c>
      <c r="R7" s="1" t="s">
        <v>25</v>
      </c>
      <c r="S7" s="1" t="s">
        <v>59</v>
      </c>
      <c r="T7" s="1" t="s">
        <v>27</v>
      </c>
      <c r="U7" s="1" t="s">
        <v>28</v>
      </c>
      <c r="V7" s="1" t="s">
        <v>52</v>
      </c>
      <c r="W7" s="1" t="s">
        <v>30</v>
      </c>
    </row>
    <row r="8" spans="1:23" ht="45.6" customHeight="1" x14ac:dyDescent="0.3">
      <c r="A8" s="1">
        <v>6</v>
      </c>
      <c r="B8" s="1" t="s">
        <v>16</v>
      </c>
      <c r="C8" s="1" t="s">
        <v>220</v>
      </c>
      <c r="D8" s="1" t="s">
        <v>219</v>
      </c>
      <c r="E8" s="9" t="str">
        <f t="shared" si="0"/>
        <v>0x332709</v>
      </c>
      <c r="F8" s="1">
        <v>332709</v>
      </c>
      <c r="G8" s="1">
        <v>8104</v>
      </c>
      <c r="H8" s="22" t="s">
        <v>307</v>
      </c>
      <c r="I8" s="1" t="s">
        <v>60</v>
      </c>
      <c r="J8" s="1" t="s">
        <v>61</v>
      </c>
      <c r="K8" s="1" t="s">
        <v>62</v>
      </c>
      <c r="L8" s="1" t="s">
        <v>34</v>
      </c>
      <c r="M8" s="1" t="s">
        <v>34</v>
      </c>
      <c r="N8" s="1" t="s">
        <v>21</v>
      </c>
      <c r="O8" s="1" t="s">
        <v>63</v>
      </c>
      <c r="P8" s="1" t="s">
        <v>42</v>
      </c>
      <c r="Q8" s="1" t="s">
        <v>43</v>
      </c>
      <c r="R8" s="1" t="s">
        <v>25</v>
      </c>
      <c r="S8" s="1" t="s">
        <v>44</v>
      </c>
      <c r="T8" s="1" t="s">
        <v>27</v>
      </c>
      <c r="U8" s="1" t="s">
        <v>28</v>
      </c>
      <c r="V8" s="1" t="s">
        <v>52</v>
      </c>
      <c r="W8" s="1" t="s">
        <v>30</v>
      </c>
    </row>
    <row r="9" spans="1:23" ht="34.200000000000003" customHeight="1" x14ac:dyDescent="0.3">
      <c r="A9" s="1">
        <v>7</v>
      </c>
      <c r="B9" s="1" t="s">
        <v>16</v>
      </c>
      <c r="C9" s="1" t="s">
        <v>221</v>
      </c>
      <c r="D9" s="1">
        <v>93</v>
      </c>
      <c r="E9" s="9" t="str">
        <f t="shared" si="0"/>
        <v>0x332193</v>
      </c>
      <c r="F9" s="1">
        <v>332193</v>
      </c>
      <c r="G9" s="2">
        <v>8211</v>
      </c>
      <c r="H9" s="22" t="s">
        <v>308</v>
      </c>
      <c r="I9" s="1" t="s">
        <v>65</v>
      </c>
      <c r="J9" s="1" t="s">
        <v>66</v>
      </c>
      <c r="K9" s="1" t="s">
        <v>67</v>
      </c>
      <c r="L9" s="1" t="s">
        <v>68</v>
      </c>
      <c r="M9" s="1" t="s">
        <v>68</v>
      </c>
      <c r="N9" s="1" t="s">
        <v>21</v>
      </c>
      <c r="O9" s="1" t="s">
        <v>69</v>
      </c>
      <c r="P9" s="1" t="s">
        <v>42</v>
      </c>
      <c r="Q9" s="1" t="s">
        <v>43</v>
      </c>
      <c r="R9" s="1" t="s">
        <v>25</v>
      </c>
      <c r="S9" s="1" t="s">
        <v>44</v>
      </c>
      <c r="T9" s="1" t="s">
        <v>70</v>
      </c>
      <c r="U9" s="1" t="s">
        <v>28</v>
      </c>
      <c r="V9" s="1" t="s">
        <v>52</v>
      </c>
      <c r="W9" s="1" t="s">
        <v>71</v>
      </c>
    </row>
    <row r="10" spans="1:23" ht="33.6" customHeight="1" x14ac:dyDescent="0.3">
      <c r="A10" s="1">
        <v>8</v>
      </c>
      <c r="B10" s="1" t="s">
        <v>16</v>
      </c>
      <c r="C10" s="1" t="s">
        <v>221</v>
      </c>
      <c r="D10" s="1">
        <v>97</v>
      </c>
      <c r="E10" s="9" t="str">
        <f t="shared" si="0"/>
        <v>0x332197</v>
      </c>
      <c r="F10" s="1">
        <v>332197</v>
      </c>
      <c r="G10" s="2">
        <v>8212</v>
      </c>
      <c r="H10" s="22" t="s">
        <v>309</v>
      </c>
      <c r="I10" s="1" t="s">
        <v>73</v>
      </c>
      <c r="J10" s="1" t="s">
        <v>74</v>
      </c>
      <c r="K10" s="1" t="s">
        <v>75</v>
      </c>
      <c r="L10" s="1" t="s">
        <v>76</v>
      </c>
      <c r="M10" s="1" t="s">
        <v>208</v>
      </c>
      <c r="N10" s="1" t="s">
        <v>21</v>
      </c>
      <c r="O10" s="1" t="s">
        <v>77</v>
      </c>
      <c r="P10" s="1" t="s">
        <v>42</v>
      </c>
      <c r="Q10" s="1" t="s">
        <v>43</v>
      </c>
      <c r="R10" s="1" t="s">
        <v>25</v>
      </c>
      <c r="S10" s="1" t="s">
        <v>44</v>
      </c>
      <c r="T10" s="1" t="s">
        <v>70</v>
      </c>
      <c r="U10" s="1" t="s">
        <v>28</v>
      </c>
      <c r="V10" s="1" t="s">
        <v>52</v>
      </c>
      <c r="W10" s="1" t="s">
        <v>71</v>
      </c>
    </row>
    <row r="11" spans="1:23" ht="31.95" customHeight="1" x14ac:dyDescent="0.3">
      <c r="A11" s="1">
        <v>9</v>
      </c>
      <c r="B11" s="1" t="s">
        <v>16</v>
      </c>
      <c r="C11" s="1" t="s">
        <v>221</v>
      </c>
      <c r="D11" s="1" t="s">
        <v>223</v>
      </c>
      <c r="E11" s="9" t="str">
        <f t="shared" si="0"/>
        <v>0x33211D</v>
      </c>
      <c r="F11" s="1" t="s">
        <v>78</v>
      </c>
      <c r="G11" s="2">
        <v>8214</v>
      </c>
      <c r="H11" s="22" t="s">
        <v>310</v>
      </c>
      <c r="I11" s="1" t="s">
        <v>79</v>
      </c>
      <c r="J11" s="1" t="s">
        <v>66</v>
      </c>
      <c r="K11" s="1" t="s">
        <v>80</v>
      </c>
      <c r="L11" s="1" t="s">
        <v>68</v>
      </c>
      <c r="M11" s="1" t="s">
        <v>68</v>
      </c>
      <c r="N11" s="1" t="s">
        <v>21</v>
      </c>
      <c r="O11" s="1" t="s">
        <v>81</v>
      </c>
      <c r="P11" s="1" t="s">
        <v>42</v>
      </c>
      <c r="Q11" s="1" t="s">
        <v>43</v>
      </c>
      <c r="R11" s="1" t="s">
        <v>25</v>
      </c>
      <c r="S11" s="1" t="s">
        <v>44</v>
      </c>
      <c r="T11" s="1" t="s">
        <v>70</v>
      </c>
      <c r="U11" s="1" t="s">
        <v>28</v>
      </c>
      <c r="V11" s="1" t="s">
        <v>52</v>
      </c>
      <c r="W11" s="1" t="s">
        <v>71</v>
      </c>
    </row>
    <row r="12" spans="1:23" ht="34.200000000000003" customHeight="1" x14ac:dyDescent="0.3">
      <c r="A12" s="1">
        <v>10</v>
      </c>
      <c r="B12" s="1" t="s">
        <v>16</v>
      </c>
      <c r="C12" s="1" t="s">
        <v>221</v>
      </c>
      <c r="D12" s="1" t="s">
        <v>218</v>
      </c>
      <c r="E12" s="9" t="str">
        <f t="shared" si="0"/>
        <v>0x33219A</v>
      </c>
      <c r="F12" s="1" t="s">
        <v>82</v>
      </c>
      <c r="G12" s="2">
        <v>8215</v>
      </c>
      <c r="H12" s="22" t="s">
        <v>311</v>
      </c>
      <c r="I12" s="1" t="s">
        <v>83</v>
      </c>
      <c r="J12" s="1" t="s">
        <v>74</v>
      </c>
      <c r="K12" s="1" t="s">
        <v>75</v>
      </c>
      <c r="L12" s="1" t="s">
        <v>76</v>
      </c>
      <c r="M12" s="1" t="s">
        <v>208</v>
      </c>
      <c r="N12" s="1" t="s">
        <v>21</v>
      </c>
      <c r="O12" s="1" t="s">
        <v>84</v>
      </c>
      <c r="P12" s="1" t="s">
        <v>42</v>
      </c>
      <c r="Q12" s="1" t="s">
        <v>43</v>
      </c>
      <c r="R12" s="1" t="s">
        <v>25</v>
      </c>
      <c r="S12" s="1" t="s">
        <v>44</v>
      </c>
      <c r="T12" s="1" t="s">
        <v>70</v>
      </c>
      <c r="U12" s="1" t="s">
        <v>28</v>
      </c>
      <c r="V12" s="1" t="s">
        <v>52</v>
      </c>
      <c r="W12" s="1" t="s">
        <v>71</v>
      </c>
    </row>
    <row r="13" spans="1:23" ht="39" customHeight="1" x14ac:dyDescent="0.3">
      <c r="A13" s="1">
        <v>11</v>
      </c>
      <c r="B13" s="1" t="s">
        <v>16</v>
      </c>
      <c r="C13" s="1" t="s">
        <v>221</v>
      </c>
      <c r="D13" s="1" t="s">
        <v>224</v>
      </c>
      <c r="E13" s="9" t="str">
        <f t="shared" si="0"/>
        <v>0x332191</v>
      </c>
      <c r="F13" s="1">
        <v>332191</v>
      </c>
      <c r="G13" s="2">
        <v>8217</v>
      </c>
      <c r="H13" s="22" t="s">
        <v>312</v>
      </c>
      <c r="I13" s="1" t="s">
        <v>85</v>
      </c>
      <c r="J13" s="1" t="s">
        <v>66</v>
      </c>
      <c r="K13" s="1" t="s">
        <v>86</v>
      </c>
      <c r="L13" s="1" t="s">
        <v>68</v>
      </c>
      <c r="M13" s="1" t="s">
        <v>68</v>
      </c>
      <c r="N13" s="1" t="s">
        <v>21</v>
      </c>
      <c r="O13" s="1" t="s">
        <v>87</v>
      </c>
      <c r="P13" s="1" t="s">
        <v>42</v>
      </c>
      <c r="Q13" s="1" t="s">
        <v>43</v>
      </c>
      <c r="R13" s="1" t="s">
        <v>25</v>
      </c>
      <c r="S13" s="1" t="s">
        <v>44</v>
      </c>
      <c r="T13" s="1" t="s">
        <v>70</v>
      </c>
      <c r="U13" s="1" t="s">
        <v>28</v>
      </c>
      <c r="V13" s="1" t="s">
        <v>52</v>
      </c>
      <c r="W13" s="1" t="s">
        <v>71</v>
      </c>
    </row>
    <row r="14" spans="1:23" ht="37.950000000000003" customHeight="1" x14ac:dyDescent="0.3">
      <c r="A14" s="1">
        <v>12</v>
      </c>
      <c r="B14" s="1" t="s">
        <v>16</v>
      </c>
      <c r="C14" s="1" t="s">
        <v>225</v>
      </c>
      <c r="D14" s="1" t="s">
        <v>226</v>
      </c>
      <c r="E14" s="9" t="str">
        <f t="shared" si="0"/>
        <v>0x332413</v>
      </c>
      <c r="F14" s="1">
        <v>332413</v>
      </c>
      <c r="G14" s="2" t="s">
        <v>88</v>
      </c>
      <c r="H14" s="22" t="s">
        <v>313</v>
      </c>
      <c r="I14" s="1" t="s">
        <v>89</v>
      </c>
      <c r="J14" s="1" t="s">
        <v>90</v>
      </c>
      <c r="K14" s="1" t="s">
        <v>91</v>
      </c>
      <c r="L14" s="1" t="s">
        <v>76</v>
      </c>
      <c r="M14" s="1" t="s">
        <v>42</v>
      </c>
      <c r="N14" s="1" t="s">
        <v>21</v>
      </c>
      <c r="O14" s="1" t="s">
        <v>92</v>
      </c>
      <c r="P14" s="1" t="s">
        <v>42</v>
      </c>
      <c r="Q14" s="1" t="s">
        <v>43</v>
      </c>
      <c r="R14" s="1" t="s">
        <v>25</v>
      </c>
      <c r="S14" s="1" t="s">
        <v>44</v>
      </c>
      <c r="T14" s="1" t="s">
        <v>70</v>
      </c>
      <c r="U14" s="1" t="s">
        <v>28</v>
      </c>
      <c r="V14" s="1" t="s">
        <v>52</v>
      </c>
      <c r="W14" s="1" t="s">
        <v>93</v>
      </c>
    </row>
    <row r="15" spans="1:23" ht="37.950000000000003" customHeight="1" x14ac:dyDescent="0.3">
      <c r="A15" s="1">
        <v>13</v>
      </c>
      <c r="B15" s="1" t="s">
        <v>16</v>
      </c>
      <c r="C15" s="1" t="s">
        <v>225</v>
      </c>
      <c r="D15" s="1" t="s">
        <v>227</v>
      </c>
      <c r="E15" s="9" t="str">
        <f t="shared" si="0"/>
        <v>0x332414</v>
      </c>
      <c r="F15" s="1">
        <v>332414</v>
      </c>
      <c r="G15" s="2" t="s">
        <v>94</v>
      </c>
      <c r="H15" s="22" t="s">
        <v>314</v>
      </c>
      <c r="I15" s="1" t="s">
        <v>95</v>
      </c>
      <c r="J15" s="1" t="s">
        <v>90</v>
      </c>
      <c r="K15" s="1" t="s">
        <v>91</v>
      </c>
      <c r="L15" s="1" t="s">
        <v>76</v>
      </c>
      <c r="M15" s="1" t="s">
        <v>42</v>
      </c>
      <c r="N15" s="1" t="s">
        <v>21</v>
      </c>
      <c r="O15" s="1" t="s">
        <v>96</v>
      </c>
      <c r="P15" s="1" t="s">
        <v>42</v>
      </c>
      <c r="Q15" s="1" t="s">
        <v>43</v>
      </c>
      <c r="R15" s="1" t="s">
        <v>25</v>
      </c>
      <c r="S15" s="1" t="s">
        <v>44</v>
      </c>
      <c r="T15" s="1" t="s">
        <v>70</v>
      </c>
      <c r="U15" s="1" t="s">
        <v>28</v>
      </c>
      <c r="V15" s="1" t="s">
        <v>52</v>
      </c>
      <c r="W15" s="1" t="s">
        <v>93</v>
      </c>
    </row>
    <row r="16" spans="1:23" ht="33.6" customHeight="1" x14ac:dyDescent="0.3">
      <c r="A16" s="1">
        <v>14</v>
      </c>
      <c r="B16" s="1" t="s">
        <v>16</v>
      </c>
      <c r="C16" s="1" t="s">
        <v>225</v>
      </c>
      <c r="D16" s="1" t="s">
        <v>223</v>
      </c>
      <c r="E16" s="9" t="str">
        <f t="shared" si="0"/>
        <v>0x33241D</v>
      </c>
      <c r="F16" s="1" t="s">
        <v>97</v>
      </c>
      <c r="G16" s="2" t="s">
        <v>98</v>
      </c>
      <c r="H16" s="22" t="s">
        <v>315</v>
      </c>
      <c r="I16" s="1" t="s">
        <v>99</v>
      </c>
      <c r="J16" s="1" t="s">
        <v>90</v>
      </c>
      <c r="K16" s="1" t="s">
        <v>91</v>
      </c>
      <c r="L16" s="1" t="s">
        <v>76</v>
      </c>
      <c r="M16" s="1" t="s">
        <v>42</v>
      </c>
      <c r="N16" s="1" t="s">
        <v>21</v>
      </c>
      <c r="O16" s="1" t="s">
        <v>100</v>
      </c>
      <c r="P16" s="1" t="s">
        <v>42</v>
      </c>
      <c r="Q16" s="1" t="s">
        <v>43</v>
      </c>
      <c r="R16" s="1" t="s">
        <v>25</v>
      </c>
      <c r="S16" s="1" t="s">
        <v>44</v>
      </c>
      <c r="T16" s="1" t="s">
        <v>70</v>
      </c>
      <c r="U16" s="1" t="s">
        <v>28</v>
      </c>
      <c r="V16" s="1" t="s">
        <v>52</v>
      </c>
      <c r="W16" s="1" t="s">
        <v>93</v>
      </c>
    </row>
    <row r="17" spans="1:23" ht="33.6" customHeight="1" x14ac:dyDescent="0.3">
      <c r="A17" s="1">
        <v>15</v>
      </c>
      <c r="B17" s="1" t="s">
        <v>16</v>
      </c>
      <c r="C17" s="1" t="s">
        <v>220</v>
      </c>
      <c r="D17" s="1" t="s">
        <v>301</v>
      </c>
      <c r="E17" s="9" t="str">
        <f t="shared" si="0"/>
        <v>0x33274B</v>
      </c>
      <c r="F17" s="1" t="s">
        <v>267</v>
      </c>
      <c r="G17" s="2">
        <v>8105</v>
      </c>
      <c r="H17" s="22" t="s">
        <v>332</v>
      </c>
      <c r="I17" s="1" t="s">
        <v>101</v>
      </c>
      <c r="J17" s="1" t="s">
        <v>101</v>
      </c>
      <c r="K17" s="1" t="s">
        <v>102</v>
      </c>
      <c r="L17" s="1" t="s">
        <v>34</v>
      </c>
      <c r="M17" s="1" t="s">
        <v>34</v>
      </c>
      <c r="N17" s="1" t="s">
        <v>103</v>
      </c>
      <c r="O17" s="1" t="s">
        <v>104</v>
      </c>
      <c r="P17" s="1" t="s">
        <v>105</v>
      </c>
      <c r="Q17" s="1" t="s">
        <v>43</v>
      </c>
      <c r="R17" s="1" t="s">
        <v>25</v>
      </c>
      <c r="S17" s="1" t="s">
        <v>106</v>
      </c>
      <c r="T17" s="1" t="s">
        <v>27</v>
      </c>
      <c r="U17" s="1" t="s">
        <v>28</v>
      </c>
      <c r="V17" s="1" t="s">
        <v>52</v>
      </c>
      <c r="W17" s="1" t="s">
        <v>30</v>
      </c>
    </row>
    <row r="18" spans="1:23" ht="42" customHeight="1" x14ac:dyDescent="0.3">
      <c r="A18" s="1">
        <v>16</v>
      </c>
      <c r="B18" s="1" t="s">
        <v>16</v>
      </c>
      <c r="C18" s="1" t="s">
        <v>228</v>
      </c>
      <c r="D18" s="1" t="s">
        <v>229</v>
      </c>
      <c r="E18" s="9" t="str">
        <f t="shared" si="0"/>
        <v>0x332863</v>
      </c>
      <c r="F18" s="1" t="s">
        <v>107</v>
      </c>
      <c r="G18" s="2">
        <v>8137</v>
      </c>
      <c r="H18" s="22" t="str">
        <f>CONCATENATE("FAULT_",SUBSTITUTE(SUBSTITUTE(I18," ",""),"_",""))</f>
        <v>FAULT_PreChargeTimeout</v>
      </c>
      <c r="I18" s="1" t="s">
        <v>108</v>
      </c>
      <c r="J18" s="1" t="s">
        <v>108</v>
      </c>
      <c r="K18" s="1" t="s">
        <v>109</v>
      </c>
      <c r="L18" s="1" t="s">
        <v>110</v>
      </c>
      <c r="M18" s="1" t="s">
        <v>42</v>
      </c>
      <c r="N18" s="1" t="s">
        <v>111</v>
      </c>
      <c r="O18" s="1" t="s">
        <v>112</v>
      </c>
      <c r="P18" s="1" t="s">
        <v>42</v>
      </c>
      <c r="Q18" s="1" t="s">
        <v>43</v>
      </c>
      <c r="R18" s="1" t="s">
        <v>25</v>
      </c>
      <c r="S18" s="1" t="s">
        <v>113</v>
      </c>
      <c r="T18" s="1" t="s">
        <v>27</v>
      </c>
      <c r="U18" s="1" t="s">
        <v>28</v>
      </c>
      <c r="V18" s="1" t="s">
        <v>52</v>
      </c>
      <c r="W18" s="1" t="s">
        <v>114</v>
      </c>
    </row>
    <row r="19" spans="1:23" ht="45" customHeight="1" x14ac:dyDescent="0.3">
      <c r="A19" s="1">
        <v>17</v>
      </c>
      <c r="B19" s="1" t="s">
        <v>16</v>
      </c>
      <c r="C19" s="1" t="s">
        <v>228</v>
      </c>
      <c r="D19" s="1" t="s">
        <v>222</v>
      </c>
      <c r="E19" s="9" t="str">
        <f t="shared" si="0"/>
        <v>0x332896</v>
      </c>
      <c r="F19" s="1">
        <v>332896</v>
      </c>
      <c r="G19" s="2">
        <v>8236</v>
      </c>
      <c r="H19" s="22" t="s">
        <v>316</v>
      </c>
      <c r="I19" s="1" t="s">
        <v>115</v>
      </c>
      <c r="J19" s="1" t="s">
        <v>115</v>
      </c>
      <c r="K19" s="1" t="s">
        <v>116</v>
      </c>
      <c r="L19" s="1" t="s">
        <v>34</v>
      </c>
      <c r="M19" s="1" t="s">
        <v>42</v>
      </c>
      <c r="N19" s="1" t="s">
        <v>21</v>
      </c>
      <c r="O19" s="1" t="s">
        <v>117</v>
      </c>
      <c r="P19" s="1" t="s">
        <v>42</v>
      </c>
      <c r="Q19" s="1" t="s">
        <v>43</v>
      </c>
      <c r="R19" s="1" t="s">
        <v>25</v>
      </c>
      <c r="S19" s="1" t="s">
        <v>113</v>
      </c>
      <c r="T19" s="1" t="s">
        <v>70</v>
      </c>
      <c r="U19" s="1" t="s">
        <v>28</v>
      </c>
      <c r="V19" s="1" t="s">
        <v>52</v>
      </c>
      <c r="W19" s="1" t="s">
        <v>114</v>
      </c>
    </row>
    <row r="20" spans="1:23" ht="35.4" customHeight="1" x14ac:dyDescent="0.3">
      <c r="A20" s="1">
        <v>18</v>
      </c>
      <c r="B20" s="1" t="s">
        <v>16</v>
      </c>
      <c r="C20" s="1" t="s">
        <v>228</v>
      </c>
      <c r="D20" s="1" t="s">
        <v>230</v>
      </c>
      <c r="E20" s="9" t="str">
        <f t="shared" si="0"/>
        <v>0x332816</v>
      </c>
      <c r="F20" s="1">
        <v>332816</v>
      </c>
      <c r="G20" s="2">
        <v>8133</v>
      </c>
      <c r="H20" s="26" t="s">
        <v>317</v>
      </c>
      <c r="I20" s="27" t="s">
        <v>118</v>
      </c>
      <c r="J20" s="27" t="s">
        <v>119</v>
      </c>
      <c r="K20" s="1" t="s">
        <v>120</v>
      </c>
      <c r="L20" s="1" t="s">
        <v>34</v>
      </c>
      <c r="M20" s="1" t="s">
        <v>42</v>
      </c>
      <c r="N20" s="1" t="s">
        <v>121</v>
      </c>
      <c r="O20" s="1" t="s">
        <v>122</v>
      </c>
      <c r="P20" s="1" t="s">
        <v>42</v>
      </c>
      <c r="Q20" s="1" t="s">
        <v>123</v>
      </c>
      <c r="R20" s="1" t="s">
        <v>25</v>
      </c>
      <c r="S20" s="1" t="s">
        <v>44</v>
      </c>
      <c r="T20" s="1" t="s">
        <v>27</v>
      </c>
      <c r="U20" s="1" t="s">
        <v>124</v>
      </c>
      <c r="V20" s="1" t="s">
        <v>125</v>
      </c>
      <c r="W20" s="1" t="s">
        <v>114</v>
      </c>
    </row>
    <row r="21" spans="1:23" ht="39" customHeight="1" x14ac:dyDescent="0.3">
      <c r="A21" s="1">
        <v>19</v>
      </c>
      <c r="B21" s="1" t="s">
        <v>16</v>
      </c>
      <c r="C21" s="1" t="s">
        <v>228</v>
      </c>
      <c r="D21" s="1" t="s">
        <v>231</v>
      </c>
      <c r="E21" s="9" t="str">
        <f t="shared" si="0"/>
        <v>0x332817</v>
      </c>
      <c r="F21" s="1">
        <v>332817</v>
      </c>
      <c r="G21" s="2" t="s">
        <v>126</v>
      </c>
      <c r="H21" s="28" t="s">
        <v>318</v>
      </c>
      <c r="I21" s="30" t="s">
        <v>127</v>
      </c>
      <c r="J21" s="30" t="s">
        <v>128</v>
      </c>
      <c r="K21" s="1" t="s">
        <v>129</v>
      </c>
      <c r="L21" s="1" t="s">
        <v>34</v>
      </c>
      <c r="M21" s="1" t="s">
        <v>34</v>
      </c>
      <c r="N21" s="1" t="s">
        <v>21</v>
      </c>
      <c r="O21" s="1" t="s">
        <v>130</v>
      </c>
      <c r="P21" s="1" t="s">
        <v>42</v>
      </c>
      <c r="Q21" s="1" t="s">
        <v>43</v>
      </c>
      <c r="R21" s="1" t="s">
        <v>25</v>
      </c>
      <c r="S21" s="1" t="s">
        <v>44</v>
      </c>
      <c r="T21" s="1" t="s">
        <v>27</v>
      </c>
      <c r="U21" s="1" t="s">
        <v>124</v>
      </c>
      <c r="V21" s="1" t="s">
        <v>125</v>
      </c>
      <c r="W21" s="1" t="s">
        <v>114</v>
      </c>
    </row>
    <row r="22" spans="1:23" ht="40.200000000000003" customHeight="1" x14ac:dyDescent="0.3">
      <c r="A22" s="1">
        <v>20</v>
      </c>
      <c r="B22" s="1" t="s">
        <v>16</v>
      </c>
      <c r="C22" s="1" t="s">
        <v>232</v>
      </c>
      <c r="D22" s="1">
        <v>14</v>
      </c>
      <c r="E22" s="9" t="str">
        <f t="shared" si="0"/>
        <v>0x333814</v>
      </c>
      <c r="F22" s="1">
        <v>333814</v>
      </c>
      <c r="G22" s="1">
        <v>8140</v>
      </c>
      <c r="H22" s="22" t="s">
        <v>319</v>
      </c>
      <c r="I22" s="1" t="s">
        <v>132</v>
      </c>
      <c r="J22" s="1" t="s">
        <v>133</v>
      </c>
      <c r="K22" s="1" t="s">
        <v>134</v>
      </c>
      <c r="L22" s="1" t="s">
        <v>34</v>
      </c>
      <c r="M22" s="1" t="s">
        <v>34</v>
      </c>
      <c r="N22" s="1" t="s">
        <v>21</v>
      </c>
      <c r="O22" s="1" t="s">
        <v>135</v>
      </c>
      <c r="P22" s="1" t="s">
        <v>42</v>
      </c>
      <c r="Q22" s="1" t="s">
        <v>43</v>
      </c>
      <c r="R22" s="1" t="s">
        <v>25</v>
      </c>
      <c r="S22" s="1" t="s">
        <v>44</v>
      </c>
      <c r="T22" s="1" t="s">
        <v>27</v>
      </c>
      <c r="U22" s="1" t="s">
        <v>124</v>
      </c>
      <c r="V22" s="1" t="s">
        <v>125</v>
      </c>
      <c r="W22" s="1" t="s">
        <v>114</v>
      </c>
    </row>
    <row r="23" spans="1:23" ht="36" customHeight="1" x14ac:dyDescent="0.3">
      <c r="A23" s="1">
        <v>21</v>
      </c>
      <c r="B23" s="1" t="s">
        <v>16</v>
      </c>
      <c r="C23" s="1" t="s">
        <v>233</v>
      </c>
      <c r="D23" s="1" t="s">
        <v>234</v>
      </c>
      <c r="E23" s="9" t="str">
        <f t="shared" si="0"/>
        <v>0x333544</v>
      </c>
      <c r="F23" s="1">
        <v>333544</v>
      </c>
      <c r="G23" s="1">
        <v>8170</v>
      </c>
      <c r="H23" s="22" t="s">
        <v>320</v>
      </c>
      <c r="I23" s="1" t="s">
        <v>253</v>
      </c>
      <c r="J23" s="1" t="s">
        <v>136</v>
      </c>
      <c r="K23" s="1" t="s">
        <v>137</v>
      </c>
      <c r="L23" s="1" t="s">
        <v>138</v>
      </c>
      <c r="M23" s="1" t="s">
        <v>42</v>
      </c>
      <c r="N23" s="1" t="s">
        <v>103</v>
      </c>
      <c r="O23" s="1" t="s">
        <v>139</v>
      </c>
      <c r="P23" s="1" t="s">
        <v>42</v>
      </c>
      <c r="Q23" s="1" t="s">
        <v>43</v>
      </c>
      <c r="R23" s="1" t="s">
        <v>25</v>
      </c>
      <c r="S23" s="1" t="s">
        <v>113</v>
      </c>
      <c r="T23" s="1" t="s">
        <v>27</v>
      </c>
      <c r="U23" s="1" t="s">
        <v>124</v>
      </c>
      <c r="V23" s="1" t="s">
        <v>125</v>
      </c>
      <c r="W23" s="1" t="s">
        <v>140</v>
      </c>
    </row>
    <row r="24" spans="1:23" ht="33" customHeight="1" x14ac:dyDescent="0.3">
      <c r="A24" s="1">
        <v>22</v>
      </c>
      <c r="B24" s="1" t="s">
        <v>16</v>
      </c>
      <c r="C24" s="1" t="s">
        <v>233</v>
      </c>
      <c r="D24" s="1" t="s">
        <v>235</v>
      </c>
      <c r="E24" s="9" t="str">
        <f t="shared" si="0"/>
        <v>0x333546</v>
      </c>
      <c r="F24" s="1">
        <v>333546</v>
      </c>
      <c r="G24" s="2">
        <v>8071</v>
      </c>
      <c r="H24" s="22" t="s">
        <v>321</v>
      </c>
      <c r="I24" s="1" t="s">
        <v>141</v>
      </c>
      <c r="J24" s="1" t="s">
        <v>141</v>
      </c>
      <c r="K24" s="1" t="s">
        <v>142</v>
      </c>
      <c r="L24" s="1" t="s">
        <v>138</v>
      </c>
      <c r="M24" s="1" t="s">
        <v>42</v>
      </c>
      <c r="N24" s="1" t="s">
        <v>103</v>
      </c>
      <c r="O24" s="1" t="s">
        <v>143</v>
      </c>
      <c r="P24" s="1" t="s">
        <v>42</v>
      </c>
      <c r="Q24" s="1" t="s">
        <v>43</v>
      </c>
      <c r="R24" s="1" t="s">
        <v>25</v>
      </c>
      <c r="S24" s="1" t="s">
        <v>113</v>
      </c>
      <c r="T24" s="1" t="s">
        <v>144</v>
      </c>
      <c r="U24" s="1" t="s">
        <v>124</v>
      </c>
      <c r="V24" s="1" t="s">
        <v>125</v>
      </c>
      <c r="W24" s="1" t="s">
        <v>140</v>
      </c>
    </row>
    <row r="25" spans="1:23" ht="31.95" customHeight="1" x14ac:dyDescent="0.3">
      <c r="A25" s="1">
        <v>23</v>
      </c>
      <c r="B25" s="1" t="s">
        <v>16</v>
      </c>
      <c r="C25" s="1" t="s">
        <v>236</v>
      </c>
      <c r="D25" s="1" t="s">
        <v>222</v>
      </c>
      <c r="E25" s="9" t="str">
        <f t="shared" si="0"/>
        <v>0x331296</v>
      </c>
      <c r="F25" s="1">
        <v>331296</v>
      </c>
      <c r="G25" s="2">
        <v>8250</v>
      </c>
      <c r="H25" s="22" t="s">
        <v>322</v>
      </c>
      <c r="I25" s="1" t="s">
        <v>145</v>
      </c>
      <c r="J25" s="1" t="s">
        <v>146</v>
      </c>
      <c r="K25" s="1" t="s">
        <v>147</v>
      </c>
      <c r="L25" s="1" t="s">
        <v>138</v>
      </c>
      <c r="M25" s="1" t="s">
        <v>42</v>
      </c>
      <c r="N25" s="1" t="s">
        <v>148</v>
      </c>
      <c r="O25" s="1" t="s">
        <v>149</v>
      </c>
      <c r="P25" s="1" t="s">
        <v>42</v>
      </c>
      <c r="Q25" s="1" t="s">
        <v>43</v>
      </c>
      <c r="R25" s="1" t="s">
        <v>25</v>
      </c>
      <c r="S25" s="1" t="s">
        <v>44</v>
      </c>
      <c r="T25" s="1" t="s">
        <v>70</v>
      </c>
      <c r="U25" s="1" t="s">
        <v>124</v>
      </c>
      <c r="V25" s="1" t="s">
        <v>29</v>
      </c>
      <c r="W25" s="1" t="s">
        <v>150</v>
      </c>
    </row>
    <row r="26" spans="1:23" ht="30.6" customHeight="1" x14ac:dyDescent="0.3">
      <c r="A26" s="1">
        <v>24</v>
      </c>
      <c r="B26" s="1" t="s">
        <v>16</v>
      </c>
      <c r="C26" s="1" t="s">
        <v>237</v>
      </c>
      <c r="D26" s="1" t="s">
        <v>238</v>
      </c>
      <c r="E26" s="9" t="str">
        <f t="shared" si="0"/>
        <v>0x331693</v>
      </c>
      <c r="F26" s="1">
        <v>331693</v>
      </c>
      <c r="G26" s="2">
        <v>8151</v>
      </c>
      <c r="H26" s="22" t="str">
        <f>CONCATENATE("FAULT_",SUBSTITUTE(SUBSTITUTE(I26," ",""),"_",""))</f>
        <v>FAULT_MotorStall</v>
      </c>
      <c r="I26" s="1" t="s">
        <v>151</v>
      </c>
      <c r="J26" s="1" t="s">
        <v>152</v>
      </c>
      <c r="K26" s="1" t="s">
        <v>153</v>
      </c>
      <c r="L26" s="1" t="s">
        <v>110</v>
      </c>
      <c r="M26" s="1" t="s">
        <v>209</v>
      </c>
      <c r="N26" s="1" t="s">
        <v>21</v>
      </c>
      <c r="O26" s="1" t="s">
        <v>154</v>
      </c>
      <c r="P26" s="1" t="s">
        <v>155</v>
      </c>
      <c r="Q26" s="1" t="s">
        <v>24</v>
      </c>
      <c r="R26" s="1" t="s">
        <v>25</v>
      </c>
      <c r="S26" s="1" t="s">
        <v>156</v>
      </c>
      <c r="T26" s="1" t="s">
        <v>27</v>
      </c>
      <c r="U26" s="1" t="s">
        <v>124</v>
      </c>
      <c r="V26" s="1" t="s">
        <v>29</v>
      </c>
      <c r="W26" s="1" t="s">
        <v>157</v>
      </c>
    </row>
    <row r="27" spans="1:23" ht="33" customHeight="1" x14ac:dyDescent="0.3">
      <c r="A27" s="1">
        <v>25</v>
      </c>
      <c r="B27" s="1" t="s">
        <v>16</v>
      </c>
      <c r="C27" s="1" t="s">
        <v>232</v>
      </c>
      <c r="D27" s="1" t="s">
        <v>224</v>
      </c>
      <c r="E27" s="9" t="str">
        <f t="shared" si="0"/>
        <v>0x333891</v>
      </c>
      <c r="F27" s="1">
        <v>333891</v>
      </c>
      <c r="G27" s="2">
        <v>8090</v>
      </c>
      <c r="H27" s="22" t="s">
        <v>323</v>
      </c>
      <c r="I27" s="1" t="s">
        <v>158</v>
      </c>
      <c r="J27" s="1" t="s">
        <v>158</v>
      </c>
      <c r="K27" s="1" t="s">
        <v>159</v>
      </c>
      <c r="L27" s="1" t="s">
        <v>138</v>
      </c>
      <c r="M27" s="1" t="s">
        <v>138</v>
      </c>
      <c r="N27" s="1" t="s">
        <v>160</v>
      </c>
      <c r="O27" s="1" t="s">
        <v>161</v>
      </c>
      <c r="P27" s="1" t="s">
        <v>162</v>
      </c>
      <c r="Q27" s="1" t="s">
        <v>24</v>
      </c>
      <c r="R27" s="1" t="s">
        <v>163</v>
      </c>
      <c r="S27" s="1" t="s">
        <v>164</v>
      </c>
      <c r="T27" s="1" t="s">
        <v>165</v>
      </c>
      <c r="U27" s="1" t="s">
        <v>124</v>
      </c>
      <c r="V27" s="1" t="s">
        <v>52</v>
      </c>
      <c r="W27" s="1" t="s">
        <v>114</v>
      </c>
    </row>
    <row r="28" spans="1:23" ht="37.200000000000003" customHeight="1" x14ac:dyDescent="0.3">
      <c r="A28" s="1">
        <v>26</v>
      </c>
      <c r="B28" s="1" t="s">
        <v>166</v>
      </c>
      <c r="C28" s="1" t="s">
        <v>233</v>
      </c>
      <c r="D28" s="1" t="s">
        <v>241</v>
      </c>
      <c r="E28" s="9" t="str">
        <f t="shared" si="0"/>
        <v>0x333586</v>
      </c>
      <c r="F28" s="1" t="s">
        <v>167</v>
      </c>
      <c r="G28" s="5" t="s">
        <v>351</v>
      </c>
      <c r="H28" s="22" t="s">
        <v>292</v>
      </c>
      <c r="I28" s="1" t="s">
        <v>168</v>
      </c>
      <c r="J28" s="1" t="s">
        <v>169</v>
      </c>
      <c r="K28" s="1" t="s">
        <v>170</v>
      </c>
      <c r="L28" s="1" t="s">
        <v>138</v>
      </c>
      <c r="M28" s="1" t="s">
        <v>42</v>
      </c>
      <c r="N28" s="1" t="s">
        <v>103</v>
      </c>
      <c r="O28" s="1" t="s">
        <v>170</v>
      </c>
      <c r="P28" s="1" t="s">
        <v>42</v>
      </c>
      <c r="Q28" s="1" t="s">
        <v>43</v>
      </c>
      <c r="R28" s="1" t="s">
        <v>25</v>
      </c>
      <c r="S28" s="1" t="s">
        <v>113</v>
      </c>
      <c r="T28" s="1" t="s">
        <v>27</v>
      </c>
      <c r="U28" s="1" t="s">
        <v>124</v>
      </c>
      <c r="V28" s="1" t="s">
        <v>125</v>
      </c>
      <c r="W28" s="1" t="s">
        <v>140</v>
      </c>
    </row>
    <row r="29" spans="1:23" ht="36.6" customHeight="1" x14ac:dyDescent="0.3">
      <c r="A29" s="1">
        <v>27</v>
      </c>
      <c r="B29" s="1" t="s">
        <v>166</v>
      </c>
      <c r="C29" s="1" t="s">
        <v>242</v>
      </c>
      <c r="D29" s="1" t="s">
        <v>243</v>
      </c>
      <c r="E29" s="9" t="str">
        <f t="shared" si="0"/>
        <v>0x33118F</v>
      </c>
      <c r="F29" s="1" t="s">
        <v>171</v>
      </c>
      <c r="G29" s="5" t="s">
        <v>353</v>
      </c>
      <c r="H29" s="22" t="str">
        <f>CONCATENATE("FAULT_",SUBSTITUTE(SUBSTITUTE(I29," ",""),"_",""))</f>
        <v>FAULT_MotorOverSpeedFault</v>
      </c>
      <c r="I29" s="1" t="s">
        <v>172</v>
      </c>
      <c r="J29" s="1" t="s">
        <v>172</v>
      </c>
      <c r="K29" s="1" t="s">
        <v>173</v>
      </c>
      <c r="L29" s="1" t="s">
        <v>174</v>
      </c>
      <c r="M29" s="1" t="s">
        <v>174</v>
      </c>
      <c r="N29" s="1" t="s">
        <v>103</v>
      </c>
      <c r="O29" s="1" t="s">
        <v>175</v>
      </c>
      <c r="P29" s="1" t="s">
        <v>176</v>
      </c>
      <c r="Q29" s="1"/>
      <c r="R29" s="1"/>
      <c r="S29" s="1"/>
      <c r="T29" s="1"/>
      <c r="U29" s="1"/>
      <c r="V29" s="1" t="s">
        <v>29</v>
      </c>
      <c r="W29" s="1" t="s">
        <v>150</v>
      </c>
    </row>
    <row r="30" spans="1:23" ht="30.6" customHeight="1" x14ac:dyDescent="0.3">
      <c r="A30" s="1">
        <v>28</v>
      </c>
      <c r="B30" s="1" t="s">
        <v>16</v>
      </c>
      <c r="C30" s="1" t="s">
        <v>244</v>
      </c>
      <c r="D30" s="1" t="s">
        <v>224</v>
      </c>
      <c r="E30" s="9" t="str">
        <f t="shared" si="0"/>
        <v>0xD33391</v>
      </c>
      <c r="F30" s="3" t="s">
        <v>177</v>
      </c>
      <c r="G30" s="2">
        <v>8082</v>
      </c>
      <c r="H30" s="22" t="s">
        <v>324</v>
      </c>
      <c r="I30" s="1" t="s">
        <v>178</v>
      </c>
      <c r="J30" s="1" t="s">
        <v>179</v>
      </c>
      <c r="K30" s="1" t="s">
        <v>180</v>
      </c>
      <c r="L30" s="1" t="s">
        <v>181</v>
      </c>
      <c r="M30" s="1" t="s">
        <v>138</v>
      </c>
      <c r="N30" s="1" t="s">
        <v>182</v>
      </c>
      <c r="O30" s="1" t="s">
        <v>183</v>
      </c>
      <c r="P30" s="1" t="s">
        <v>184</v>
      </c>
      <c r="Q30" s="1" t="s">
        <v>24</v>
      </c>
      <c r="R30" s="1" t="s">
        <v>185</v>
      </c>
      <c r="S30" s="1" t="s">
        <v>164</v>
      </c>
      <c r="T30" s="1" t="s">
        <v>164</v>
      </c>
      <c r="U30" s="1" t="s">
        <v>124</v>
      </c>
      <c r="V30" s="1" t="s">
        <v>125</v>
      </c>
      <c r="W30" s="1" t="s">
        <v>186</v>
      </c>
    </row>
    <row r="31" spans="1:23" ht="29.4" customHeight="1" x14ac:dyDescent="0.3">
      <c r="A31" s="1">
        <v>29</v>
      </c>
      <c r="B31" s="1" t="s">
        <v>16</v>
      </c>
      <c r="C31" s="1" t="s">
        <v>244</v>
      </c>
      <c r="D31" s="1" t="s">
        <v>240</v>
      </c>
      <c r="E31" s="9" t="str">
        <f t="shared" si="0"/>
        <v>0xD33392</v>
      </c>
      <c r="F31" s="3" t="s">
        <v>187</v>
      </c>
      <c r="G31" s="2">
        <v>8083</v>
      </c>
      <c r="H31" s="22" t="s">
        <v>325</v>
      </c>
      <c r="I31" s="1" t="s">
        <v>188</v>
      </c>
      <c r="J31" s="1" t="s">
        <v>189</v>
      </c>
      <c r="K31" s="1" t="s">
        <v>190</v>
      </c>
      <c r="L31" s="1" t="s">
        <v>191</v>
      </c>
      <c r="M31" s="1" t="s">
        <v>138</v>
      </c>
      <c r="N31" s="1" t="s">
        <v>182</v>
      </c>
      <c r="O31" s="1" t="s">
        <v>183</v>
      </c>
      <c r="P31" s="1" t="s">
        <v>184</v>
      </c>
      <c r="Q31" s="1" t="s">
        <v>24</v>
      </c>
      <c r="R31" s="1" t="s">
        <v>185</v>
      </c>
      <c r="S31" s="1" t="s">
        <v>164</v>
      </c>
      <c r="T31" s="1" t="s">
        <v>164</v>
      </c>
      <c r="U31" s="1" t="s">
        <v>124</v>
      </c>
      <c r="V31" s="1" t="s">
        <v>125</v>
      </c>
      <c r="W31" s="1" t="s">
        <v>186</v>
      </c>
    </row>
    <row r="32" spans="1:23" ht="32.4" customHeight="1" x14ac:dyDescent="0.3">
      <c r="A32" s="1">
        <v>30</v>
      </c>
      <c r="B32" s="1" t="s">
        <v>16</v>
      </c>
      <c r="C32" s="1" t="s">
        <v>244</v>
      </c>
      <c r="D32" s="1" t="s">
        <v>245</v>
      </c>
      <c r="E32" s="9" t="str">
        <f t="shared" si="0"/>
        <v>0xD33394</v>
      </c>
      <c r="F32" s="3" t="s">
        <v>192</v>
      </c>
      <c r="G32" s="2">
        <v>8084</v>
      </c>
      <c r="H32" s="22" t="s">
        <v>326</v>
      </c>
      <c r="I32" s="1" t="s">
        <v>193</v>
      </c>
      <c r="J32" s="1" t="s">
        <v>348</v>
      </c>
      <c r="K32" s="1" t="s">
        <v>194</v>
      </c>
      <c r="L32" s="1" t="s">
        <v>191</v>
      </c>
      <c r="M32" s="1" t="s">
        <v>138</v>
      </c>
      <c r="N32" s="1" t="s">
        <v>182</v>
      </c>
      <c r="O32" s="1" t="s">
        <v>183</v>
      </c>
      <c r="P32" s="1" t="s">
        <v>184</v>
      </c>
      <c r="Q32" s="1" t="s">
        <v>24</v>
      </c>
      <c r="R32" s="1" t="s">
        <v>185</v>
      </c>
      <c r="S32" s="1" t="s">
        <v>164</v>
      </c>
      <c r="T32" s="1" t="s">
        <v>164</v>
      </c>
      <c r="U32" s="1" t="s">
        <v>124</v>
      </c>
      <c r="V32" s="1" t="s">
        <v>125</v>
      </c>
      <c r="W32" s="1" t="s">
        <v>186</v>
      </c>
    </row>
    <row r="33" spans="1:23" ht="341.4" customHeight="1" x14ac:dyDescent="0.3">
      <c r="A33" s="1">
        <v>31</v>
      </c>
      <c r="B33" s="1" t="s">
        <v>166</v>
      </c>
      <c r="C33" s="1" t="s">
        <v>220</v>
      </c>
      <c r="D33" s="1" t="str">
        <f t="shared" ref="D33:D49" si="1">RIGHT(E33, 2)</f>
        <v>96</v>
      </c>
      <c r="E33" s="9" t="str">
        <f t="shared" si="0"/>
        <v>0x332796</v>
      </c>
      <c r="F33" s="3">
        <v>332796</v>
      </c>
      <c r="G33" s="2">
        <v>8107</v>
      </c>
      <c r="H33" s="22" t="s">
        <v>327</v>
      </c>
      <c r="I33" s="1" t="s">
        <v>270</v>
      </c>
      <c r="J33" s="1" t="s">
        <v>255</v>
      </c>
      <c r="K33" s="1" t="s">
        <v>354</v>
      </c>
      <c r="L33" s="1" t="s">
        <v>355</v>
      </c>
      <c r="M33" s="1" t="s">
        <v>42</v>
      </c>
      <c r="N33" s="1" t="s">
        <v>356</v>
      </c>
      <c r="O33" s="1" t="s">
        <v>354</v>
      </c>
      <c r="P33" s="1" t="s">
        <v>42</v>
      </c>
      <c r="Q33" s="1" t="s">
        <v>357</v>
      </c>
      <c r="R33" s="1" t="s">
        <v>25</v>
      </c>
      <c r="S33" s="1" t="s">
        <v>113</v>
      </c>
      <c r="T33" s="1" t="s">
        <v>358</v>
      </c>
      <c r="U33" s="1"/>
      <c r="V33" s="1"/>
      <c r="W33" s="1"/>
    </row>
    <row r="34" spans="1:23" ht="75" x14ac:dyDescent="0.35">
      <c r="A34" s="1">
        <v>32</v>
      </c>
      <c r="B34" s="1" t="s">
        <v>166</v>
      </c>
      <c r="C34" s="1" t="s">
        <v>221</v>
      </c>
      <c r="D34" s="1" t="str">
        <f t="shared" si="1"/>
        <v>19</v>
      </c>
      <c r="E34" s="9" t="str">
        <f t="shared" si="0"/>
        <v>0x332119</v>
      </c>
      <c r="F34" s="15">
        <v>332119</v>
      </c>
      <c r="G34" s="33">
        <v>8230</v>
      </c>
      <c r="H34" s="22" t="str">
        <f>CONCATENATE("FAULT_",SUBSTITUTE(SUBSTITUTE(I34," ",""),"_",""))</f>
        <v>FAULT_BusOverCurrent</v>
      </c>
      <c r="I34" s="8" t="s">
        <v>271</v>
      </c>
      <c r="J34" s="8" t="s">
        <v>256</v>
      </c>
      <c r="K34" s="41" t="s">
        <v>372</v>
      </c>
      <c r="L34" s="19" t="s">
        <v>371</v>
      </c>
      <c r="M34" s="1" t="s">
        <v>42</v>
      </c>
      <c r="N34" s="1" t="s">
        <v>21</v>
      </c>
      <c r="O34" s="41" t="s">
        <v>370</v>
      </c>
      <c r="P34" s="1" t="s">
        <v>42</v>
      </c>
      <c r="Q34" s="1" t="s">
        <v>357</v>
      </c>
      <c r="R34" s="1" t="s">
        <v>25</v>
      </c>
      <c r="S34" s="1" t="s">
        <v>113</v>
      </c>
      <c r="T34" s="43" t="s">
        <v>373</v>
      </c>
      <c r="U34" s="14"/>
      <c r="V34" s="14"/>
      <c r="W34" s="14"/>
    </row>
    <row r="35" spans="1:23" ht="201.6" x14ac:dyDescent="0.3">
      <c r="A35" s="1">
        <v>33</v>
      </c>
      <c r="B35" s="1" t="s">
        <v>166</v>
      </c>
      <c r="C35" s="1" t="s">
        <v>221</v>
      </c>
      <c r="D35" s="1" t="str">
        <f t="shared" si="1"/>
        <v>96</v>
      </c>
      <c r="E35" s="9" t="str">
        <f t="shared" si="0"/>
        <v>0x332196</v>
      </c>
      <c r="F35" s="15">
        <v>332196</v>
      </c>
      <c r="G35" s="33">
        <v>8231</v>
      </c>
      <c r="H35" s="22" t="s">
        <v>328</v>
      </c>
      <c r="I35" s="8" t="s">
        <v>272</v>
      </c>
      <c r="J35" s="16" t="s">
        <v>74</v>
      </c>
      <c r="K35" s="1" t="s">
        <v>75</v>
      </c>
      <c r="L35" s="19" t="s">
        <v>371</v>
      </c>
      <c r="M35" s="1" t="s">
        <v>42</v>
      </c>
      <c r="N35" s="1" t="s">
        <v>21</v>
      </c>
      <c r="O35" s="19" t="s">
        <v>374</v>
      </c>
      <c r="P35" s="1" t="s">
        <v>42</v>
      </c>
      <c r="Q35" s="1" t="s">
        <v>357</v>
      </c>
      <c r="R35" s="1" t="s">
        <v>25</v>
      </c>
      <c r="S35" s="1" t="s">
        <v>113</v>
      </c>
      <c r="T35" s="43" t="s">
        <v>375</v>
      </c>
      <c r="U35" s="14"/>
      <c r="V35" s="14"/>
      <c r="W35" s="14"/>
    </row>
    <row r="36" spans="1:23" ht="231" x14ac:dyDescent="0.35">
      <c r="A36" s="1">
        <v>34</v>
      </c>
      <c r="B36" s="1" t="s">
        <v>166</v>
      </c>
      <c r="C36" s="1" t="s">
        <v>228</v>
      </c>
      <c r="D36" s="1" t="str">
        <f t="shared" si="1"/>
        <v>94</v>
      </c>
      <c r="E36" s="9" t="str">
        <f t="shared" si="0"/>
        <v>0x332894</v>
      </c>
      <c r="F36" s="8">
        <v>332894</v>
      </c>
      <c r="G36" s="33">
        <v>8132</v>
      </c>
      <c r="H36" s="22" t="str">
        <f>CONCATENATE("FAULT_",SUBSTITUTE(SUBSTITUTE(I36," ",""),"_",""))</f>
        <v>FAULT_PreChargeUnderVoltage</v>
      </c>
      <c r="I36" s="8" t="s">
        <v>257</v>
      </c>
      <c r="J36" s="8" t="s">
        <v>257</v>
      </c>
      <c r="K36" s="19" t="s">
        <v>379</v>
      </c>
      <c r="L36" s="40" t="s">
        <v>378</v>
      </c>
      <c r="M36" s="1" t="s">
        <v>42</v>
      </c>
      <c r="N36" s="40" t="s">
        <v>376</v>
      </c>
      <c r="O36" s="19" t="s">
        <v>377</v>
      </c>
      <c r="P36" s="1" t="s">
        <v>42</v>
      </c>
      <c r="Q36" s="1" t="s">
        <v>357</v>
      </c>
      <c r="R36" s="1" t="s">
        <v>25</v>
      </c>
      <c r="S36" s="1" t="s">
        <v>113</v>
      </c>
      <c r="T36" s="43" t="s">
        <v>375</v>
      </c>
      <c r="U36" s="14"/>
      <c r="V36" s="14"/>
      <c r="W36" s="14"/>
    </row>
    <row r="37" spans="1:23" ht="288.60000000000002" x14ac:dyDescent="0.35">
      <c r="A37" s="1">
        <v>35</v>
      </c>
      <c r="B37" s="1" t="s">
        <v>166</v>
      </c>
      <c r="C37" s="1" t="s">
        <v>232</v>
      </c>
      <c r="D37" s="1" t="str">
        <f t="shared" si="1"/>
        <v>16</v>
      </c>
      <c r="E37" s="9" t="str">
        <f t="shared" si="0"/>
        <v>0x333816</v>
      </c>
      <c r="F37" s="8">
        <v>333816</v>
      </c>
      <c r="G37" s="33">
        <v>8041</v>
      </c>
      <c r="H37" s="22" t="s">
        <v>329</v>
      </c>
      <c r="I37" s="8" t="s">
        <v>273</v>
      </c>
      <c r="J37" s="8" t="s">
        <v>258</v>
      </c>
      <c r="K37" s="40" t="s">
        <v>380</v>
      </c>
      <c r="L37" s="14" t="s">
        <v>34</v>
      </c>
      <c r="M37" s="14" t="s">
        <v>34</v>
      </c>
      <c r="N37" s="1" t="s">
        <v>21</v>
      </c>
      <c r="O37" s="40" t="s">
        <v>380</v>
      </c>
      <c r="P37" s="40" t="s">
        <v>381</v>
      </c>
      <c r="Q37" s="14" t="s">
        <v>382</v>
      </c>
      <c r="R37" s="1" t="s">
        <v>185</v>
      </c>
      <c r="S37" s="1" t="s">
        <v>164</v>
      </c>
      <c r="T37" s="19" t="s">
        <v>383</v>
      </c>
      <c r="U37" s="14"/>
      <c r="V37" s="14"/>
      <c r="W37" s="14"/>
    </row>
    <row r="38" spans="1:23" ht="57.6" x14ac:dyDescent="0.3">
      <c r="A38" s="1">
        <v>36</v>
      </c>
      <c r="B38" s="1" t="s">
        <v>166</v>
      </c>
      <c r="C38" s="1" t="s">
        <v>268</v>
      </c>
      <c r="D38" s="1" t="str">
        <f t="shared" si="1"/>
        <v>00</v>
      </c>
      <c r="E38" s="9" t="str">
        <f t="shared" si="0"/>
        <v>0xF33300</v>
      </c>
      <c r="F38" s="8" t="s">
        <v>265</v>
      </c>
      <c r="G38" s="33">
        <v>8180</v>
      </c>
      <c r="H38" s="22" t="s">
        <v>330</v>
      </c>
      <c r="I38" s="8" t="s">
        <v>259</v>
      </c>
      <c r="J38" s="8" t="s">
        <v>259</v>
      </c>
      <c r="K38" s="19" t="s">
        <v>384</v>
      </c>
      <c r="L38" s="1" t="s">
        <v>385</v>
      </c>
      <c r="M38" s="19" t="s">
        <v>42</v>
      </c>
      <c r="N38" s="1" t="s">
        <v>21</v>
      </c>
      <c r="O38" s="19" t="s">
        <v>384</v>
      </c>
      <c r="P38" s="1" t="s">
        <v>42</v>
      </c>
      <c r="Q38" s="1" t="s">
        <v>357</v>
      </c>
      <c r="R38" s="1" t="s">
        <v>25</v>
      </c>
      <c r="S38" s="1" t="s">
        <v>113</v>
      </c>
      <c r="T38" s="43" t="s">
        <v>375</v>
      </c>
      <c r="U38" s="14"/>
      <c r="V38" s="14"/>
      <c r="W38" s="14"/>
    </row>
    <row r="39" spans="1:23" ht="173.4" x14ac:dyDescent="0.35">
      <c r="A39" s="1">
        <v>37</v>
      </c>
      <c r="B39" s="1" t="s">
        <v>166</v>
      </c>
      <c r="C39" s="1" t="s">
        <v>268</v>
      </c>
      <c r="D39" s="1" t="str">
        <f t="shared" si="1"/>
        <v>87</v>
      </c>
      <c r="E39" s="9" t="str">
        <f t="shared" si="0"/>
        <v>0xF33387</v>
      </c>
      <c r="F39" s="8" t="s">
        <v>266</v>
      </c>
      <c r="G39" s="33">
        <v>8181</v>
      </c>
      <c r="H39" s="22" t="s">
        <v>337</v>
      </c>
      <c r="I39" s="8" t="s">
        <v>260</v>
      </c>
      <c r="J39" s="8" t="s">
        <v>260</v>
      </c>
      <c r="K39" s="19" t="s">
        <v>386</v>
      </c>
      <c r="L39" s="1" t="s">
        <v>387</v>
      </c>
      <c r="M39" s="19" t="s">
        <v>388</v>
      </c>
      <c r="N39" s="1" t="s">
        <v>21</v>
      </c>
      <c r="O39" s="19" t="s">
        <v>386</v>
      </c>
      <c r="P39" s="40" t="s">
        <v>389</v>
      </c>
      <c r="Q39" s="1" t="s">
        <v>24</v>
      </c>
      <c r="R39" s="1" t="s">
        <v>185</v>
      </c>
      <c r="S39" s="1" t="s">
        <v>164</v>
      </c>
      <c r="T39" s="43" t="s">
        <v>375</v>
      </c>
      <c r="U39" s="14"/>
      <c r="V39" s="14"/>
      <c r="W39" s="14"/>
    </row>
    <row r="40" spans="1:23" ht="15.6" x14ac:dyDescent="0.3">
      <c r="A40" s="1">
        <v>38</v>
      </c>
      <c r="B40" s="1" t="s">
        <v>166</v>
      </c>
      <c r="C40" s="1" t="s">
        <v>220</v>
      </c>
      <c r="D40" s="1" t="str">
        <f t="shared" si="1"/>
        <v>46</v>
      </c>
      <c r="E40" s="9" t="str">
        <f t="shared" si="0"/>
        <v>0x332746</v>
      </c>
      <c r="F40" s="8">
        <v>332746</v>
      </c>
      <c r="G40" s="33">
        <v>8094</v>
      </c>
      <c r="H40" s="22" t="s">
        <v>331</v>
      </c>
      <c r="I40" s="8" t="s">
        <v>274</v>
      </c>
      <c r="J40" s="8" t="s">
        <v>261</v>
      </c>
      <c r="K40" s="14"/>
      <c r="L40" s="14"/>
      <c r="M40" s="14"/>
      <c r="N40" s="14"/>
      <c r="O40" s="14"/>
      <c r="P40" s="14"/>
      <c r="Q40" s="14"/>
      <c r="R40" s="14"/>
      <c r="S40" s="14"/>
      <c r="T40" s="14"/>
      <c r="U40" s="14"/>
      <c r="V40" s="14"/>
      <c r="W40" s="14"/>
    </row>
    <row r="41" spans="1:23" ht="30" x14ac:dyDescent="0.3">
      <c r="A41" s="1">
        <v>39</v>
      </c>
      <c r="B41" s="1" t="s">
        <v>166</v>
      </c>
      <c r="C41" s="1" t="s">
        <v>220</v>
      </c>
      <c r="D41" s="1" t="str">
        <f t="shared" si="1"/>
        <v>97</v>
      </c>
      <c r="E41" s="9" t="str">
        <f t="shared" si="0"/>
        <v>0x332797</v>
      </c>
      <c r="F41" s="8">
        <v>332797</v>
      </c>
      <c r="G41" s="33">
        <v>8105</v>
      </c>
      <c r="H41" s="22" t="str">
        <f>CONCATENATE("FAULT_",SUBSTITUTE(SUBSTITUTE(I41," ",""),"_",""))</f>
        <v>FAULT_PreChargeOverTempPbit</v>
      </c>
      <c r="I41" s="8" t="s">
        <v>262</v>
      </c>
      <c r="J41" s="16" t="s">
        <v>262</v>
      </c>
      <c r="K41" s="16" t="s">
        <v>390</v>
      </c>
      <c r="L41" s="16" t="s">
        <v>34</v>
      </c>
      <c r="M41" s="16" t="s">
        <v>42</v>
      </c>
      <c r="N41" s="16" t="s">
        <v>356</v>
      </c>
      <c r="O41" s="16" t="s">
        <v>391</v>
      </c>
      <c r="P41" s="16" t="s">
        <v>42</v>
      </c>
      <c r="Q41" s="1" t="s">
        <v>357</v>
      </c>
      <c r="R41" s="1" t="s">
        <v>163</v>
      </c>
      <c r="S41" s="1" t="s">
        <v>113</v>
      </c>
      <c r="T41" s="43" t="s">
        <v>375</v>
      </c>
      <c r="U41" s="14"/>
      <c r="V41" s="14"/>
      <c r="W41" s="14"/>
    </row>
    <row r="42" spans="1:23" ht="15.6" x14ac:dyDescent="0.3">
      <c r="A42" s="1">
        <v>40</v>
      </c>
      <c r="B42" s="1" t="s">
        <v>166</v>
      </c>
      <c r="C42" s="1" t="s">
        <v>228</v>
      </c>
      <c r="D42" s="1" t="str">
        <f t="shared" si="1"/>
        <v>9A</v>
      </c>
      <c r="E42" s="9" t="str">
        <f t="shared" si="0"/>
        <v>0x33289A</v>
      </c>
      <c r="F42" s="8" t="s">
        <v>282</v>
      </c>
      <c r="G42" s="33" t="s">
        <v>360</v>
      </c>
      <c r="H42" s="26" t="s">
        <v>333</v>
      </c>
      <c r="I42" s="25" t="s">
        <v>275</v>
      </c>
      <c r="J42" s="25" t="s">
        <v>263</v>
      </c>
      <c r="K42" s="16" t="s">
        <v>392</v>
      </c>
      <c r="L42" s="16" t="s">
        <v>393</v>
      </c>
      <c r="M42" s="16" t="s">
        <v>393</v>
      </c>
      <c r="N42" s="16" t="s">
        <v>394</v>
      </c>
      <c r="O42" s="16" t="s">
        <v>392</v>
      </c>
      <c r="P42" s="16" t="s">
        <v>395</v>
      </c>
      <c r="Q42" s="1" t="s">
        <v>24</v>
      </c>
      <c r="R42" s="1" t="s">
        <v>185</v>
      </c>
      <c r="S42" s="1" t="s">
        <v>164</v>
      </c>
      <c r="T42" s="14" t="s">
        <v>396</v>
      </c>
      <c r="U42" s="14"/>
      <c r="V42" s="14"/>
      <c r="W42" s="14"/>
    </row>
    <row r="43" spans="1:23" ht="15.6" x14ac:dyDescent="0.3">
      <c r="A43" s="1">
        <v>41</v>
      </c>
      <c r="B43" s="1" t="s">
        <v>166</v>
      </c>
      <c r="C43" s="1" t="s">
        <v>228</v>
      </c>
      <c r="D43" s="1" t="str">
        <f t="shared" si="1"/>
        <v>91</v>
      </c>
      <c r="E43" s="9" t="str">
        <f t="shared" si="0"/>
        <v>0x332891</v>
      </c>
      <c r="F43" s="8">
        <v>332891</v>
      </c>
      <c r="G43" s="33" t="s">
        <v>361</v>
      </c>
      <c r="H43" s="28" t="s">
        <v>334</v>
      </c>
      <c r="I43" s="29" t="s">
        <v>276</v>
      </c>
      <c r="J43" s="29" t="s">
        <v>264</v>
      </c>
      <c r="K43" s="16" t="s">
        <v>397</v>
      </c>
      <c r="L43" s="16" t="s">
        <v>393</v>
      </c>
      <c r="M43" s="16" t="s">
        <v>393</v>
      </c>
      <c r="N43" s="16" t="s">
        <v>394</v>
      </c>
      <c r="O43" s="16" t="s">
        <v>397</v>
      </c>
      <c r="P43" s="16" t="s">
        <v>398</v>
      </c>
      <c r="Q43" s="1" t="s">
        <v>24</v>
      </c>
      <c r="R43" s="1" t="s">
        <v>185</v>
      </c>
      <c r="S43" s="1" t="s">
        <v>164</v>
      </c>
      <c r="T43" s="14" t="s">
        <v>396</v>
      </c>
      <c r="U43" s="14"/>
      <c r="V43" s="14"/>
      <c r="W43" s="14"/>
    </row>
    <row r="44" spans="1:23" ht="109.2" x14ac:dyDescent="0.3">
      <c r="A44" s="1">
        <v>42</v>
      </c>
      <c r="B44" s="1" t="s">
        <v>166</v>
      </c>
      <c r="C44" s="1" t="s">
        <v>228</v>
      </c>
      <c r="D44" s="5" t="str">
        <f t="shared" si="1"/>
        <v>13</v>
      </c>
      <c r="E44" s="9" t="str">
        <f t="shared" si="0"/>
        <v>0x332813</v>
      </c>
      <c r="F44" s="8">
        <v>332813</v>
      </c>
      <c r="G44" s="33" t="s">
        <v>362</v>
      </c>
      <c r="H44" s="32" t="s">
        <v>293</v>
      </c>
      <c r="I44" s="25" t="s">
        <v>283</v>
      </c>
      <c r="J44" s="25" t="s">
        <v>279</v>
      </c>
      <c r="K44" s="16" t="s">
        <v>399</v>
      </c>
      <c r="L44" s="16" t="s">
        <v>393</v>
      </c>
      <c r="M44" s="16" t="s">
        <v>393</v>
      </c>
      <c r="N44" s="44" t="s">
        <v>394</v>
      </c>
      <c r="O44" s="16" t="s">
        <v>399</v>
      </c>
      <c r="P44" s="16" t="s">
        <v>400</v>
      </c>
      <c r="Q44" s="1" t="s">
        <v>24</v>
      </c>
      <c r="R44" s="1" t="s">
        <v>185</v>
      </c>
      <c r="S44" s="1" t="s">
        <v>164</v>
      </c>
      <c r="T44" s="43" t="s">
        <v>401</v>
      </c>
      <c r="U44" s="14"/>
      <c r="V44" s="14"/>
      <c r="W44" s="14"/>
    </row>
    <row r="45" spans="1:23" ht="60" x14ac:dyDescent="0.3">
      <c r="A45" s="1">
        <v>43</v>
      </c>
      <c r="B45" s="1" t="s">
        <v>166</v>
      </c>
      <c r="C45" s="1" t="s">
        <v>228</v>
      </c>
      <c r="D45" s="5" t="str">
        <f t="shared" si="1"/>
        <v>1C</v>
      </c>
      <c r="E45" s="9" t="str">
        <f t="shared" si="0"/>
        <v>0x33281C</v>
      </c>
      <c r="F45" s="8" t="s">
        <v>280</v>
      </c>
      <c r="G45" s="33" t="s">
        <v>363</v>
      </c>
      <c r="H45" s="31" t="s">
        <v>294</v>
      </c>
      <c r="I45" s="29" t="s">
        <v>284</v>
      </c>
      <c r="J45" s="29" t="s">
        <v>281</v>
      </c>
      <c r="K45" s="16" t="s">
        <v>402</v>
      </c>
      <c r="L45" s="16" t="s">
        <v>393</v>
      </c>
      <c r="M45" s="16" t="s">
        <v>393</v>
      </c>
      <c r="N45" s="16" t="s">
        <v>394</v>
      </c>
      <c r="O45" s="16" t="s">
        <v>403</v>
      </c>
      <c r="P45" s="16" t="s">
        <v>404</v>
      </c>
      <c r="Q45" s="1" t="s">
        <v>24</v>
      </c>
      <c r="R45" s="1" t="s">
        <v>185</v>
      </c>
      <c r="S45" s="1" t="s">
        <v>164</v>
      </c>
      <c r="T45" s="43" t="s">
        <v>401</v>
      </c>
      <c r="U45" s="14"/>
      <c r="V45" s="14"/>
      <c r="W45" s="14"/>
    </row>
    <row r="46" spans="1:23" ht="60" x14ac:dyDescent="0.3">
      <c r="A46" s="1">
        <v>44</v>
      </c>
      <c r="B46" s="1" t="s">
        <v>166</v>
      </c>
      <c r="C46" s="1" t="s">
        <v>220</v>
      </c>
      <c r="D46" s="5" t="str">
        <f t="shared" si="1"/>
        <v>93</v>
      </c>
      <c r="E46" s="9" t="str">
        <f t="shared" si="0"/>
        <v>0x332793</v>
      </c>
      <c r="F46" s="8">
        <v>332793</v>
      </c>
      <c r="G46" s="33" t="s">
        <v>364</v>
      </c>
      <c r="H46" s="24" t="s">
        <v>296</v>
      </c>
      <c r="I46" s="8" t="s">
        <v>289</v>
      </c>
      <c r="J46" s="16" t="s">
        <v>47</v>
      </c>
      <c r="K46" s="16" t="s">
        <v>406</v>
      </c>
      <c r="L46" s="16" t="s">
        <v>34</v>
      </c>
      <c r="M46" s="16" t="s">
        <v>393</v>
      </c>
      <c r="N46" s="16" t="s">
        <v>405</v>
      </c>
      <c r="O46" s="16" t="s">
        <v>406</v>
      </c>
      <c r="P46" s="16" t="s">
        <v>407</v>
      </c>
      <c r="Q46" s="1" t="s">
        <v>24</v>
      </c>
      <c r="R46" s="1" t="s">
        <v>185</v>
      </c>
      <c r="S46" s="1" t="s">
        <v>164</v>
      </c>
      <c r="T46" s="43" t="s">
        <v>401</v>
      </c>
      <c r="U46" s="14"/>
      <c r="V46" s="14"/>
      <c r="W46" s="14"/>
    </row>
    <row r="47" spans="1:23" ht="15.6" x14ac:dyDescent="0.3">
      <c r="A47" s="1">
        <v>45</v>
      </c>
      <c r="B47" s="1" t="s">
        <v>166</v>
      </c>
      <c r="C47" s="1" t="s">
        <v>239</v>
      </c>
      <c r="D47" s="5" t="str">
        <f t="shared" si="1"/>
        <v>92</v>
      </c>
      <c r="E47" s="9" t="str">
        <f t="shared" si="0"/>
        <v>0x333792</v>
      </c>
      <c r="F47" s="8">
        <v>333792</v>
      </c>
      <c r="G47" s="33" t="s">
        <v>365</v>
      </c>
      <c r="H47" s="24" t="s">
        <v>295</v>
      </c>
      <c r="I47" s="8" t="s">
        <v>288</v>
      </c>
      <c r="J47" s="16" t="s">
        <v>285</v>
      </c>
      <c r="K47" s="16" t="s">
        <v>408</v>
      </c>
      <c r="L47" s="16" t="s">
        <v>34</v>
      </c>
      <c r="M47" s="16" t="s">
        <v>393</v>
      </c>
      <c r="N47" s="16" t="s">
        <v>405</v>
      </c>
      <c r="O47" s="16" t="s">
        <v>408</v>
      </c>
      <c r="P47" s="16" t="s">
        <v>409</v>
      </c>
      <c r="Q47" s="1" t="s">
        <v>24</v>
      </c>
      <c r="R47" s="1" t="s">
        <v>185</v>
      </c>
      <c r="S47" s="1" t="s">
        <v>164</v>
      </c>
      <c r="T47" s="14" t="s">
        <v>396</v>
      </c>
      <c r="U47" s="14"/>
      <c r="V47" s="14"/>
      <c r="W47" s="14"/>
    </row>
    <row r="48" spans="1:23" ht="15.6" x14ac:dyDescent="0.3">
      <c r="A48" s="1">
        <v>46</v>
      </c>
      <c r="B48" s="1" t="s">
        <v>166</v>
      </c>
      <c r="C48" s="1" t="s">
        <v>239</v>
      </c>
      <c r="D48" s="5" t="str">
        <f t="shared" si="1"/>
        <v>91</v>
      </c>
      <c r="E48" s="9" t="str">
        <f t="shared" si="0"/>
        <v>0x333791</v>
      </c>
      <c r="F48" s="8">
        <v>333791</v>
      </c>
      <c r="G48" s="33" t="s">
        <v>366</v>
      </c>
      <c r="H48" s="24" t="s">
        <v>297</v>
      </c>
      <c r="I48" s="8" t="s">
        <v>290</v>
      </c>
      <c r="J48" s="16" t="s">
        <v>286</v>
      </c>
      <c r="K48" s="16" t="s">
        <v>411</v>
      </c>
      <c r="L48" s="16" t="s">
        <v>34</v>
      </c>
      <c r="M48" s="16" t="s">
        <v>393</v>
      </c>
      <c r="N48" s="16" t="s">
        <v>410</v>
      </c>
      <c r="O48" s="16" t="s">
        <v>411</v>
      </c>
      <c r="P48" s="16" t="s">
        <v>412</v>
      </c>
      <c r="Q48" s="1" t="s">
        <v>24</v>
      </c>
      <c r="R48" s="1" t="s">
        <v>185</v>
      </c>
      <c r="S48" s="1" t="s">
        <v>164</v>
      </c>
      <c r="T48" s="14" t="s">
        <v>396</v>
      </c>
      <c r="U48" s="14"/>
      <c r="V48" s="14"/>
      <c r="W48" s="14"/>
    </row>
    <row r="49" spans="1:23" ht="60" x14ac:dyDescent="0.3">
      <c r="A49" s="1">
        <v>47</v>
      </c>
      <c r="B49" s="1" t="s">
        <v>166</v>
      </c>
      <c r="C49" s="1" t="s">
        <v>216</v>
      </c>
      <c r="D49" s="5" t="str">
        <f t="shared" si="1"/>
        <v>4B</v>
      </c>
      <c r="E49" s="9" t="str">
        <f t="shared" si="0"/>
        <v>0x33174B</v>
      </c>
      <c r="F49" s="8" t="s">
        <v>287</v>
      </c>
      <c r="G49" s="33" t="s">
        <v>367</v>
      </c>
      <c r="H49" s="24" t="s">
        <v>298</v>
      </c>
      <c r="I49" s="8" t="s">
        <v>291</v>
      </c>
      <c r="J49" s="16" t="s">
        <v>18</v>
      </c>
      <c r="K49" s="16" t="s">
        <v>413</v>
      </c>
      <c r="L49" s="16" t="s">
        <v>34</v>
      </c>
      <c r="M49" s="16" t="s">
        <v>393</v>
      </c>
      <c r="N49" s="16" t="s">
        <v>410</v>
      </c>
      <c r="O49" s="16" t="s">
        <v>413</v>
      </c>
      <c r="P49" s="16" t="s">
        <v>414</v>
      </c>
      <c r="Q49" s="1" t="s">
        <v>24</v>
      </c>
      <c r="R49" s="1" t="s">
        <v>185</v>
      </c>
      <c r="S49" s="1" t="s">
        <v>164</v>
      </c>
      <c r="T49" s="43" t="s">
        <v>401</v>
      </c>
      <c r="U49" s="14"/>
      <c r="V49" s="14"/>
      <c r="W49" s="14"/>
    </row>
    <row r="50" spans="1:23" ht="15.6" x14ac:dyDescent="0.3">
      <c r="A50" s="1">
        <v>48</v>
      </c>
      <c r="B50" s="1" t="s">
        <v>166</v>
      </c>
      <c r="C50" s="14" t="s">
        <v>216</v>
      </c>
      <c r="D50" s="5" t="s">
        <v>238</v>
      </c>
      <c r="E50" s="14" t="s">
        <v>338</v>
      </c>
      <c r="F50" s="16">
        <v>331793</v>
      </c>
      <c r="G50" s="33" t="s">
        <v>368</v>
      </c>
      <c r="H50" s="21" t="s">
        <v>341</v>
      </c>
      <c r="I50" s="8" t="s">
        <v>343</v>
      </c>
      <c r="J50" s="16" t="s">
        <v>336</v>
      </c>
      <c r="K50" s="16" t="s">
        <v>415</v>
      </c>
      <c r="L50" s="16" t="s">
        <v>34</v>
      </c>
      <c r="M50" s="16" t="s">
        <v>393</v>
      </c>
      <c r="N50" s="16" t="s">
        <v>410</v>
      </c>
      <c r="O50" s="16" t="s">
        <v>415</v>
      </c>
      <c r="P50" s="16" t="s">
        <v>418</v>
      </c>
      <c r="Q50" s="1" t="s">
        <v>24</v>
      </c>
      <c r="R50" s="1" t="s">
        <v>185</v>
      </c>
      <c r="S50" s="1" t="s">
        <v>164</v>
      </c>
      <c r="T50" s="14" t="s">
        <v>396</v>
      </c>
      <c r="U50" s="14"/>
      <c r="V50" s="14"/>
      <c r="W50" s="14"/>
    </row>
    <row r="51" spans="1:23" ht="15.6" x14ac:dyDescent="0.3">
      <c r="A51" s="1">
        <v>49</v>
      </c>
      <c r="B51" s="1" t="s">
        <v>166</v>
      </c>
      <c r="C51" s="14" t="s">
        <v>220</v>
      </c>
      <c r="D51" s="14" t="s">
        <v>245</v>
      </c>
      <c r="E51" s="14" t="s">
        <v>339</v>
      </c>
      <c r="F51" s="16">
        <v>332794</v>
      </c>
      <c r="G51" s="33" t="s">
        <v>369</v>
      </c>
      <c r="H51" s="24" t="s">
        <v>340</v>
      </c>
      <c r="I51" s="8" t="s">
        <v>342</v>
      </c>
      <c r="J51" s="16" t="s">
        <v>335</v>
      </c>
      <c r="K51" s="16" t="s">
        <v>417</v>
      </c>
      <c r="L51" s="16" t="s">
        <v>34</v>
      </c>
      <c r="M51" s="16" t="s">
        <v>34</v>
      </c>
      <c r="N51" s="16" t="s">
        <v>410</v>
      </c>
      <c r="O51" s="16" t="s">
        <v>417</v>
      </c>
      <c r="P51" s="16" t="s">
        <v>416</v>
      </c>
      <c r="Q51" s="1" t="s">
        <v>24</v>
      </c>
      <c r="R51" s="1" t="s">
        <v>185</v>
      </c>
      <c r="S51" s="1" t="s">
        <v>164</v>
      </c>
      <c r="T51" s="14" t="s">
        <v>396</v>
      </c>
      <c r="U51" s="14"/>
      <c r="V51" s="14"/>
      <c r="W51" s="14"/>
    </row>
    <row r="52" spans="1:23" ht="15" x14ac:dyDescent="0.3">
      <c r="P52" s="42"/>
    </row>
    <row r="57" spans="1:23" ht="15.6" x14ac:dyDescent="0.3">
      <c r="J57" s="16"/>
    </row>
  </sheetData>
  <autoFilter ref="F2:F49" xr:uid="{4F9F7FA5-DCE0-4742-AEDB-05EFCF0F7B76}"/>
  <phoneticPr fontId="4" type="noConversion"/>
  <conditionalFormatting sqref="F53:F1048576 F1:F51">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DF276-D410-4411-86D6-5EC258AE91A7}">
  <dimension ref="A2:CR57"/>
  <sheetViews>
    <sheetView topLeftCell="A29" workbookViewId="0">
      <selection activeCell="C57" sqref="C57"/>
    </sheetView>
  </sheetViews>
  <sheetFormatPr defaultRowHeight="14.4" x14ac:dyDescent="0.3"/>
  <cols>
    <col min="1" max="1" width="5.6640625" customWidth="1"/>
    <col min="5" max="5" width="14.33203125" bestFit="1" customWidth="1"/>
    <col min="11" max="11" width="17.33203125" customWidth="1"/>
    <col min="12" max="12" width="25.5546875" customWidth="1"/>
    <col min="16" max="16" width="16.44140625" customWidth="1"/>
    <col min="17" max="17" width="14" customWidth="1"/>
    <col min="18" max="18" width="25.88671875" customWidth="1"/>
    <col min="19" max="19" width="31.44140625" customWidth="1"/>
  </cols>
  <sheetData>
    <row r="2" spans="1:17" ht="43.2" x14ac:dyDescent="0.3">
      <c r="A2" s="4" t="s">
        <v>0</v>
      </c>
      <c r="B2" s="4" t="s">
        <v>1</v>
      </c>
      <c r="C2" s="4" t="s">
        <v>212</v>
      </c>
      <c r="D2" s="4" t="s">
        <v>214</v>
      </c>
      <c r="E2" s="4" t="s">
        <v>213</v>
      </c>
      <c r="F2" s="4" t="s">
        <v>215</v>
      </c>
      <c r="G2" s="10" t="s">
        <v>246</v>
      </c>
    </row>
    <row r="3" spans="1:17" ht="15.6" x14ac:dyDescent="0.3">
      <c r="A3" s="1">
        <v>1</v>
      </c>
      <c r="B3" s="1" t="s">
        <v>16</v>
      </c>
      <c r="C3" s="1" t="str">
        <f>CONCATENATE(G3,MID(E3, 3, 4))</f>
        <v>P3317</v>
      </c>
      <c r="D3" s="1" t="str">
        <f>RIGHT(E3, 2)</f>
        <v>98</v>
      </c>
      <c r="E3" s="1" t="str">
        <f>CONCATENATE("0x", F3)</f>
        <v>0x331798</v>
      </c>
      <c r="F3" s="1">
        <v>331798</v>
      </c>
      <c r="G3" s="11" t="str">
        <f>VLOOKUP(_xlfn.BITRSHIFT(_xlfn.BITAND(HEX2DEC(LEFT(MID(E3, 3, 4),1)),12),2),$P$3:$Q$6,2)</f>
        <v>P</v>
      </c>
      <c r="N3" t="str">
        <f>VLOOKUP(_xlfn.BITRSHIFT(_xlfn.BITAND(HEX2DEC(LEFT(MID(E3, 3, 4),1)),12),2),$P$3:$Q$6,2)</f>
        <v>P</v>
      </c>
      <c r="P3">
        <v>0</v>
      </c>
      <c r="Q3" t="s">
        <v>247</v>
      </c>
    </row>
    <row r="4" spans="1:17" ht="15.6" x14ac:dyDescent="0.3">
      <c r="A4" s="1">
        <v>2</v>
      </c>
      <c r="B4" s="1" t="s">
        <v>16</v>
      </c>
      <c r="C4" s="1" t="str">
        <f t="shared" ref="C4:C57" si="0">CONCATENATE(G4,MID(E4, 3, 4))</f>
        <v>P3317</v>
      </c>
      <c r="D4" s="1" t="str">
        <f t="shared" ref="D4:D57" si="1">RIGHT(E4, 2)</f>
        <v>9A</v>
      </c>
      <c r="E4" s="1" t="str">
        <f t="shared" ref="E4:E57" si="2">CONCATENATE("0x", F4)</f>
        <v>0x33179A</v>
      </c>
      <c r="F4" s="1" t="s">
        <v>31</v>
      </c>
      <c r="G4" s="11" t="str">
        <f t="shared" ref="G4:G57" si="3">VLOOKUP(_xlfn.BITRSHIFT(_xlfn.BITAND(HEX2DEC(LEFT(MID(E4, 3, 4),1)),12),2),$P$3:$Q$6,2)</f>
        <v>P</v>
      </c>
      <c r="P4">
        <v>1</v>
      </c>
      <c r="Q4" t="s">
        <v>248</v>
      </c>
    </row>
    <row r="5" spans="1:17" ht="15.6" x14ac:dyDescent="0.3">
      <c r="A5" s="1">
        <v>3</v>
      </c>
      <c r="B5" s="1" t="s">
        <v>16</v>
      </c>
      <c r="C5" s="1" t="str">
        <f t="shared" si="0"/>
        <v>P3317</v>
      </c>
      <c r="D5" s="1" t="str">
        <f t="shared" si="1"/>
        <v>09</v>
      </c>
      <c r="E5" s="1" t="str">
        <f t="shared" si="2"/>
        <v>0x331709</v>
      </c>
      <c r="F5" s="1">
        <v>331709</v>
      </c>
      <c r="G5" s="11" t="str">
        <f t="shared" si="3"/>
        <v>P</v>
      </c>
      <c r="P5">
        <v>2</v>
      </c>
      <c r="Q5" t="s">
        <v>249</v>
      </c>
    </row>
    <row r="6" spans="1:17" ht="15.6" x14ac:dyDescent="0.3">
      <c r="A6" s="1">
        <v>4</v>
      </c>
      <c r="B6" s="1" t="s">
        <v>16</v>
      </c>
      <c r="C6" s="1" t="str">
        <f t="shared" si="0"/>
        <v>P3327</v>
      </c>
      <c r="D6" s="1" t="str">
        <f t="shared" si="1"/>
        <v>98</v>
      </c>
      <c r="E6" s="1" t="str">
        <f t="shared" si="2"/>
        <v>0x332798</v>
      </c>
      <c r="F6" s="1">
        <v>332798</v>
      </c>
      <c r="G6" s="11" t="str">
        <f t="shared" si="3"/>
        <v>P</v>
      </c>
      <c r="P6">
        <v>3</v>
      </c>
      <c r="Q6" t="s">
        <v>250</v>
      </c>
    </row>
    <row r="7" spans="1:17" ht="15.6" x14ac:dyDescent="0.3">
      <c r="A7" s="1">
        <v>5</v>
      </c>
      <c r="B7" s="1" t="s">
        <v>16</v>
      </c>
      <c r="C7" s="1" t="str">
        <f t="shared" si="0"/>
        <v>P3327</v>
      </c>
      <c r="D7" s="1" t="str">
        <f t="shared" si="1"/>
        <v>9A</v>
      </c>
      <c r="E7" s="1" t="str">
        <f t="shared" si="2"/>
        <v>0x33279A</v>
      </c>
      <c r="F7" s="1" t="s">
        <v>53</v>
      </c>
      <c r="G7" s="11" t="str">
        <f t="shared" si="3"/>
        <v>P</v>
      </c>
    </row>
    <row r="8" spans="1:17" ht="15.6" x14ac:dyDescent="0.3">
      <c r="A8" s="1">
        <v>6</v>
      </c>
      <c r="B8" s="1" t="s">
        <v>16</v>
      </c>
      <c r="C8" s="1" t="str">
        <f t="shared" si="0"/>
        <v>P3327</v>
      </c>
      <c r="D8" s="1" t="str">
        <f t="shared" si="1"/>
        <v>09</v>
      </c>
      <c r="E8" s="1" t="str">
        <f t="shared" si="2"/>
        <v>0x332709</v>
      </c>
      <c r="F8" s="1">
        <v>332709</v>
      </c>
      <c r="G8" s="11" t="str">
        <f t="shared" si="3"/>
        <v>P</v>
      </c>
    </row>
    <row r="9" spans="1:17" ht="15.6" x14ac:dyDescent="0.3">
      <c r="A9" s="1">
        <v>7</v>
      </c>
      <c r="B9" s="1" t="s">
        <v>16</v>
      </c>
      <c r="C9" s="1" t="str">
        <f t="shared" si="0"/>
        <v>P3321</v>
      </c>
      <c r="D9" s="1" t="str">
        <f t="shared" si="1"/>
        <v>19</v>
      </c>
      <c r="E9" s="1" t="str">
        <f t="shared" si="2"/>
        <v>0x332119</v>
      </c>
      <c r="F9" s="1" t="s">
        <v>64</v>
      </c>
      <c r="G9" s="11" t="str">
        <f t="shared" si="3"/>
        <v>P</v>
      </c>
    </row>
    <row r="10" spans="1:17" ht="15.6" x14ac:dyDescent="0.3">
      <c r="A10" s="1">
        <v>8</v>
      </c>
      <c r="B10" s="1" t="s">
        <v>16</v>
      </c>
      <c r="C10" s="1" t="str">
        <f t="shared" si="0"/>
        <v>P3321</v>
      </c>
      <c r="D10" s="1" t="str">
        <f t="shared" si="1"/>
        <v>96</v>
      </c>
      <c r="E10" s="1" t="str">
        <f t="shared" si="2"/>
        <v>0x332196</v>
      </c>
      <c r="F10" s="1" t="s">
        <v>72</v>
      </c>
      <c r="G10" s="11" t="str">
        <f t="shared" si="3"/>
        <v>P</v>
      </c>
    </row>
    <row r="11" spans="1:17" ht="15.6" x14ac:dyDescent="0.3">
      <c r="A11" s="1">
        <v>9</v>
      </c>
      <c r="B11" s="1" t="s">
        <v>16</v>
      </c>
      <c r="C11" s="1" t="str">
        <f t="shared" si="0"/>
        <v>P3321</v>
      </c>
      <c r="D11" s="1" t="str">
        <f t="shared" si="1"/>
        <v>1D</v>
      </c>
      <c r="E11" s="1" t="str">
        <f t="shared" si="2"/>
        <v>0x33211D</v>
      </c>
      <c r="F11" s="1" t="s">
        <v>78</v>
      </c>
      <c r="G11" s="11" t="str">
        <f t="shared" si="3"/>
        <v>P</v>
      </c>
    </row>
    <row r="12" spans="1:17" ht="15.6" x14ac:dyDescent="0.3">
      <c r="A12" s="1">
        <v>10</v>
      </c>
      <c r="B12" s="1" t="s">
        <v>16</v>
      </c>
      <c r="C12" s="1" t="str">
        <f t="shared" si="0"/>
        <v>P3321</v>
      </c>
      <c r="D12" s="1" t="str">
        <f t="shared" si="1"/>
        <v>9A</v>
      </c>
      <c r="E12" s="1" t="str">
        <f t="shared" si="2"/>
        <v>0x33219A</v>
      </c>
      <c r="F12" s="1" t="s">
        <v>82</v>
      </c>
      <c r="G12" s="11" t="str">
        <f t="shared" si="3"/>
        <v>P</v>
      </c>
    </row>
    <row r="13" spans="1:17" ht="15.6" x14ac:dyDescent="0.3">
      <c r="A13" s="1">
        <v>11</v>
      </c>
      <c r="B13" s="1" t="s">
        <v>16</v>
      </c>
      <c r="C13" s="1" t="str">
        <f t="shared" si="0"/>
        <v>P3321</v>
      </c>
      <c r="D13" s="1" t="str">
        <f t="shared" si="1"/>
        <v>91</v>
      </c>
      <c r="E13" s="1" t="str">
        <f t="shared" si="2"/>
        <v>0x332191</v>
      </c>
      <c r="F13" s="1">
        <v>332191</v>
      </c>
      <c r="G13" s="11" t="str">
        <f t="shared" si="3"/>
        <v>P</v>
      </c>
    </row>
    <row r="14" spans="1:17" ht="15.6" x14ac:dyDescent="0.3">
      <c r="A14" s="1">
        <v>12</v>
      </c>
      <c r="B14" s="1" t="s">
        <v>16</v>
      </c>
      <c r="C14" s="1" t="str">
        <f t="shared" si="0"/>
        <v>P3324</v>
      </c>
      <c r="D14" s="1" t="str">
        <f t="shared" si="1"/>
        <v>13</v>
      </c>
      <c r="E14" s="1" t="str">
        <f t="shared" si="2"/>
        <v>0x332413</v>
      </c>
      <c r="F14" s="1">
        <v>332413</v>
      </c>
      <c r="G14" s="11" t="str">
        <f t="shared" si="3"/>
        <v>P</v>
      </c>
    </row>
    <row r="15" spans="1:17" ht="15.6" x14ac:dyDescent="0.3">
      <c r="A15" s="1">
        <v>13</v>
      </c>
      <c r="B15" s="1" t="s">
        <v>16</v>
      </c>
      <c r="C15" s="1" t="str">
        <f t="shared" si="0"/>
        <v>P3324</v>
      </c>
      <c r="D15" s="1" t="str">
        <f t="shared" si="1"/>
        <v>14</v>
      </c>
      <c r="E15" s="1" t="str">
        <f t="shared" si="2"/>
        <v>0x332414</v>
      </c>
      <c r="F15" s="1">
        <v>332414</v>
      </c>
      <c r="G15" s="11" t="str">
        <f t="shared" si="3"/>
        <v>P</v>
      </c>
    </row>
    <row r="16" spans="1:17" ht="15.6" x14ac:dyDescent="0.3">
      <c r="A16" s="1">
        <v>14</v>
      </c>
      <c r="B16" s="1" t="s">
        <v>16</v>
      </c>
      <c r="C16" s="1" t="str">
        <f t="shared" si="0"/>
        <v>P3324</v>
      </c>
      <c r="D16" s="1" t="str">
        <f t="shared" si="1"/>
        <v>1D</v>
      </c>
      <c r="E16" s="1" t="str">
        <f t="shared" si="2"/>
        <v>0x33241D</v>
      </c>
      <c r="F16" s="1" t="s">
        <v>97</v>
      </c>
      <c r="G16" s="11" t="str">
        <f t="shared" si="3"/>
        <v>P</v>
      </c>
    </row>
    <row r="17" spans="1:19" ht="15.6" x14ac:dyDescent="0.3">
      <c r="A17" s="1">
        <v>15</v>
      </c>
      <c r="B17" s="1" t="s">
        <v>16</v>
      </c>
      <c r="C17" s="1" t="str">
        <f t="shared" si="0"/>
        <v>P3327</v>
      </c>
      <c r="D17" s="1" t="str">
        <f t="shared" si="1"/>
        <v>96</v>
      </c>
      <c r="E17" s="1" t="str">
        <f t="shared" si="2"/>
        <v>0x332796</v>
      </c>
      <c r="F17" s="1">
        <v>332796</v>
      </c>
      <c r="G17" s="11" t="str">
        <f t="shared" si="3"/>
        <v>P</v>
      </c>
    </row>
    <row r="18" spans="1:19" ht="15.6" x14ac:dyDescent="0.3">
      <c r="A18" s="1">
        <v>16</v>
      </c>
      <c r="B18" s="1" t="s">
        <v>16</v>
      </c>
      <c r="C18" s="1" t="str">
        <f t="shared" si="0"/>
        <v>P3328</v>
      </c>
      <c r="D18" s="1" t="str">
        <f t="shared" si="1"/>
        <v>63</v>
      </c>
      <c r="E18" s="1" t="str">
        <f t="shared" si="2"/>
        <v>0x332863</v>
      </c>
      <c r="F18" s="1" t="s">
        <v>107</v>
      </c>
      <c r="G18" s="11" t="str">
        <f t="shared" si="3"/>
        <v>P</v>
      </c>
    </row>
    <row r="19" spans="1:19" ht="15.6" x14ac:dyDescent="0.3">
      <c r="A19" s="1">
        <v>17</v>
      </c>
      <c r="B19" s="1" t="s">
        <v>16</v>
      </c>
      <c r="C19" s="1" t="str">
        <f t="shared" si="0"/>
        <v>P3328</v>
      </c>
      <c r="D19" s="1" t="str">
        <f t="shared" si="1"/>
        <v>96</v>
      </c>
      <c r="E19" s="1" t="str">
        <f t="shared" si="2"/>
        <v>0x332896</v>
      </c>
      <c r="F19" s="1">
        <v>332896</v>
      </c>
      <c r="G19" s="11" t="str">
        <f t="shared" si="3"/>
        <v>P</v>
      </c>
      <c r="I19" s="17"/>
      <c r="J19" s="17"/>
      <c r="K19" s="17"/>
      <c r="L19" s="17"/>
    </row>
    <row r="20" spans="1:19" ht="15.6" x14ac:dyDescent="0.3">
      <c r="A20" s="1">
        <v>18</v>
      </c>
      <c r="B20" s="1" t="s">
        <v>16</v>
      </c>
      <c r="C20" s="1" t="str">
        <f t="shared" si="0"/>
        <v>P3328</v>
      </c>
      <c r="D20" s="1" t="str">
        <f t="shared" si="1"/>
        <v>16</v>
      </c>
      <c r="E20" s="1" t="str">
        <f t="shared" si="2"/>
        <v>0x332816</v>
      </c>
      <c r="F20" s="1">
        <v>332816</v>
      </c>
      <c r="G20" s="11" t="str">
        <f t="shared" si="3"/>
        <v>P</v>
      </c>
      <c r="I20" s="17"/>
      <c r="J20" s="17"/>
      <c r="K20" s="17"/>
      <c r="L20" s="17"/>
    </row>
    <row r="21" spans="1:19" ht="15.6" x14ac:dyDescent="0.3">
      <c r="A21" s="1">
        <v>19</v>
      </c>
      <c r="B21" s="1" t="s">
        <v>16</v>
      </c>
      <c r="C21" s="1" t="str">
        <f t="shared" si="0"/>
        <v>P3328</v>
      </c>
      <c r="D21" s="1" t="str">
        <f t="shared" si="1"/>
        <v>17</v>
      </c>
      <c r="E21" s="1" t="str">
        <f t="shared" si="2"/>
        <v>0x332817</v>
      </c>
      <c r="F21" s="1">
        <v>332817</v>
      </c>
      <c r="G21" s="11" t="str">
        <f t="shared" si="3"/>
        <v>P</v>
      </c>
    </row>
    <row r="22" spans="1:19" ht="15.6" x14ac:dyDescent="0.3">
      <c r="A22" s="1">
        <v>20</v>
      </c>
      <c r="B22" s="1" t="s">
        <v>16</v>
      </c>
      <c r="C22" s="1" t="str">
        <f t="shared" si="0"/>
        <v>P3338</v>
      </c>
      <c r="D22" s="1" t="str">
        <f t="shared" si="1"/>
        <v>16</v>
      </c>
      <c r="E22" s="1" t="str">
        <f t="shared" si="2"/>
        <v>0x333816</v>
      </c>
      <c r="F22" s="1" t="s">
        <v>131</v>
      </c>
      <c r="G22" s="11" t="str">
        <f t="shared" si="3"/>
        <v>P</v>
      </c>
      <c r="P22" s="17"/>
      <c r="Q22" s="17"/>
      <c r="R22" s="17"/>
      <c r="S22" s="17"/>
    </row>
    <row r="23" spans="1:19" ht="15.6" x14ac:dyDescent="0.3">
      <c r="A23" s="1">
        <v>21</v>
      </c>
      <c r="B23" s="1" t="s">
        <v>16</v>
      </c>
      <c r="C23" s="1" t="str">
        <f t="shared" si="0"/>
        <v>P3335</v>
      </c>
      <c r="D23" s="1" t="str">
        <f t="shared" si="1"/>
        <v>44</v>
      </c>
      <c r="E23" s="1" t="str">
        <f t="shared" si="2"/>
        <v>0x333544</v>
      </c>
      <c r="F23" s="1">
        <v>333544</v>
      </c>
      <c r="G23" s="11" t="str">
        <f t="shared" si="3"/>
        <v>P</v>
      </c>
      <c r="P23" s="17"/>
      <c r="Q23" s="17"/>
      <c r="R23" s="17"/>
      <c r="S23" s="17"/>
    </row>
    <row r="24" spans="1:19" ht="15.6" x14ac:dyDescent="0.3">
      <c r="A24" s="1">
        <v>22</v>
      </c>
      <c r="B24" s="1" t="s">
        <v>16</v>
      </c>
      <c r="C24" s="1" t="str">
        <f t="shared" si="0"/>
        <v>P3335</v>
      </c>
      <c r="D24" s="1" t="str">
        <f t="shared" si="1"/>
        <v>46</v>
      </c>
      <c r="E24" s="1" t="str">
        <f t="shared" si="2"/>
        <v>0x333546</v>
      </c>
      <c r="F24" s="1">
        <v>333546</v>
      </c>
      <c r="G24" s="11" t="str">
        <f t="shared" si="3"/>
        <v>P</v>
      </c>
      <c r="P24" s="18"/>
      <c r="Q24" s="17"/>
      <c r="R24" s="17"/>
      <c r="S24" s="17"/>
    </row>
    <row r="25" spans="1:19" ht="15.6" x14ac:dyDescent="0.3">
      <c r="A25" s="1">
        <v>23</v>
      </c>
      <c r="B25" s="1" t="s">
        <v>16</v>
      </c>
      <c r="C25" s="1" t="str">
        <f t="shared" si="0"/>
        <v>P3312</v>
      </c>
      <c r="D25" s="1" t="str">
        <f t="shared" si="1"/>
        <v>96</v>
      </c>
      <c r="E25" s="1" t="str">
        <f t="shared" si="2"/>
        <v>0x331296</v>
      </c>
      <c r="F25" s="1">
        <v>331296</v>
      </c>
      <c r="G25" s="11" t="str">
        <f t="shared" si="3"/>
        <v>P</v>
      </c>
      <c r="P25" s="18"/>
      <c r="Q25" s="17"/>
      <c r="R25" s="17"/>
      <c r="S25" s="17"/>
    </row>
    <row r="26" spans="1:19" ht="15.6" x14ac:dyDescent="0.3">
      <c r="A26" s="1">
        <v>24</v>
      </c>
      <c r="B26" s="1" t="s">
        <v>16</v>
      </c>
      <c r="C26" s="1" t="str">
        <f t="shared" si="0"/>
        <v>P3316</v>
      </c>
      <c r="D26" s="1" t="str">
        <f t="shared" si="1"/>
        <v>93</v>
      </c>
      <c r="E26" s="1" t="str">
        <f t="shared" si="2"/>
        <v>0x331693</v>
      </c>
      <c r="F26" s="1">
        <v>331693</v>
      </c>
      <c r="G26" s="11" t="str">
        <f t="shared" si="3"/>
        <v>P</v>
      </c>
      <c r="P26" s="18"/>
      <c r="Q26" s="17"/>
      <c r="R26" s="17"/>
      <c r="S26" s="17"/>
    </row>
    <row r="27" spans="1:19" ht="15.6" x14ac:dyDescent="0.3">
      <c r="A27" s="1">
        <v>25</v>
      </c>
      <c r="B27" s="1" t="s">
        <v>16</v>
      </c>
      <c r="C27" s="1" t="str">
        <f t="shared" si="0"/>
        <v>P3338</v>
      </c>
      <c r="D27" s="1" t="str">
        <f t="shared" si="1"/>
        <v>91</v>
      </c>
      <c r="E27" s="1" t="str">
        <f t="shared" si="2"/>
        <v>0x333891</v>
      </c>
      <c r="F27" s="1">
        <v>333891</v>
      </c>
      <c r="G27" s="11" t="str">
        <f t="shared" si="3"/>
        <v>P</v>
      </c>
      <c r="P27" s="18"/>
      <c r="Q27" s="17"/>
      <c r="R27" s="17"/>
      <c r="S27" s="17"/>
    </row>
    <row r="28" spans="1:19" ht="15.6" x14ac:dyDescent="0.3">
      <c r="A28" s="1">
        <v>26</v>
      </c>
      <c r="B28" s="1" t="s">
        <v>16</v>
      </c>
      <c r="C28" s="1" t="str">
        <f t="shared" si="0"/>
        <v>P3337</v>
      </c>
      <c r="D28" s="1" t="str">
        <f t="shared" si="1"/>
        <v>91</v>
      </c>
      <c r="E28" s="1" t="str">
        <f t="shared" si="2"/>
        <v>0x333791</v>
      </c>
      <c r="F28" s="1">
        <v>333791</v>
      </c>
      <c r="G28" s="11" t="str">
        <f t="shared" si="3"/>
        <v>P</v>
      </c>
    </row>
    <row r="29" spans="1:19" ht="15.6" x14ac:dyDescent="0.3">
      <c r="A29" s="1">
        <v>27</v>
      </c>
      <c r="B29" s="1" t="s">
        <v>16</v>
      </c>
      <c r="C29" s="1" t="str">
        <f t="shared" si="0"/>
        <v>P3337</v>
      </c>
      <c r="D29" s="1" t="str">
        <f t="shared" si="1"/>
        <v>92</v>
      </c>
      <c r="E29" s="1" t="str">
        <f t="shared" si="2"/>
        <v>0x333792</v>
      </c>
      <c r="F29" s="1">
        <v>333792</v>
      </c>
      <c r="G29" s="11" t="str">
        <f t="shared" si="3"/>
        <v>P</v>
      </c>
    </row>
    <row r="30" spans="1:19" ht="15.6" x14ac:dyDescent="0.3">
      <c r="A30" s="1">
        <v>28</v>
      </c>
      <c r="B30" s="1" t="s">
        <v>16</v>
      </c>
      <c r="C30" s="1" t="str">
        <f t="shared" si="0"/>
        <v>P3335</v>
      </c>
      <c r="D30" s="1" t="str">
        <f t="shared" si="1"/>
        <v>56</v>
      </c>
      <c r="E30" s="1" t="str">
        <f t="shared" si="2"/>
        <v>0x333556</v>
      </c>
      <c r="F30" s="1">
        <v>333556</v>
      </c>
      <c r="G30" s="11" t="str">
        <f t="shared" si="3"/>
        <v>P</v>
      </c>
    </row>
    <row r="31" spans="1:19" ht="15.6" x14ac:dyDescent="0.3">
      <c r="A31" s="1">
        <v>29</v>
      </c>
      <c r="B31" s="1" t="s">
        <v>166</v>
      </c>
      <c r="C31" s="1" t="str">
        <f t="shared" si="0"/>
        <v>P3335</v>
      </c>
      <c r="D31" s="1" t="str">
        <f t="shared" si="1"/>
        <v>86</v>
      </c>
      <c r="E31" s="1" t="str">
        <f t="shared" si="2"/>
        <v>0x333586</v>
      </c>
      <c r="F31" s="1" t="s">
        <v>167</v>
      </c>
      <c r="G31" s="11" t="str">
        <f t="shared" si="3"/>
        <v>P</v>
      </c>
    </row>
    <row r="32" spans="1:19" ht="15.6" x14ac:dyDescent="0.3">
      <c r="A32" s="1">
        <v>30</v>
      </c>
      <c r="B32" s="1" t="s">
        <v>166</v>
      </c>
      <c r="C32" s="1" t="str">
        <f t="shared" si="0"/>
        <v>P3311</v>
      </c>
      <c r="D32" s="1" t="str">
        <f t="shared" si="1"/>
        <v>8F</v>
      </c>
      <c r="E32" s="1" t="str">
        <f t="shared" si="2"/>
        <v>0x33118F</v>
      </c>
      <c r="F32" s="1" t="s">
        <v>171</v>
      </c>
      <c r="G32" s="11" t="str">
        <f t="shared" si="3"/>
        <v>P</v>
      </c>
    </row>
    <row r="33" spans="1:96" ht="15.6" x14ac:dyDescent="0.3">
      <c r="A33" s="1">
        <v>31</v>
      </c>
      <c r="B33" s="1" t="s">
        <v>16</v>
      </c>
      <c r="C33" s="1" t="str">
        <f t="shared" si="0"/>
        <v>UD333</v>
      </c>
      <c r="D33" s="1" t="str">
        <f t="shared" si="1"/>
        <v>91</v>
      </c>
      <c r="E33" s="1" t="str">
        <f t="shared" si="2"/>
        <v>0xD33391</v>
      </c>
      <c r="F33" s="3" t="s">
        <v>177</v>
      </c>
      <c r="G33" s="11" t="str">
        <f t="shared" si="3"/>
        <v>U</v>
      </c>
    </row>
    <row r="34" spans="1:96" ht="15.6" x14ac:dyDescent="0.3">
      <c r="A34" s="1">
        <v>32</v>
      </c>
      <c r="B34" s="1" t="s">
        <v>16</v>
      </c>
      <c r="C34" s="1" t="str">
        <f t="shared" si="0"/>
        <v>UD333</v>
      </c>
      <c r="D34" s="1" t="str">
        <f t="shared" si="1"/>
        <v>92</v>
      </c>
      <c r="E34" s="1" t="str">
        <f t="shared" si="2"/>
        <v>0xD33392</v>
      </c>
      <c r="F34" s="3" t="s">
        <v>187</v>
      </c>
      <c r="G34" s="11" t="str">
        <f t="shared" si="3"/>
        <v>U</v>
      </c>
    </row>
    <row r="35" spans="1:96" ht="15.6" x14ac:dyDescent="0.3">
      <c r="A35" s="1">
        <v>33</v>
      </c>
      <c r="B35" s="1" t="s">
        <v>16</v>
      </c>
      <c r="C35" s="1" t="str">
        <f t="shared" si="0"/>
        <v>UD333</v>
      </c>
      <c r="D35" s="1" t="str">
        <f t="shared" si="1"/>
        <v>94</v>
      </c>
      <c r="E35" s="1" t="str">
        <f t="shared" si="2"/>
        <v>0xD33394</v>
      </c>
      <c r="F35" s="3" t="s">
        <v>192</v>
      </c>
      <c r="G35" s="11" t="str">
        <f t="shared" si="3"/>
        <v>U</v>
      </c>
    </row>
    <row r="36" spans="1:96" ht="15.6" x14ac:dyDescent="0.3">
      <c r="A36" s="1">
        <v>34</v>
      </c>
      <c r="B36" s="1" t="s">
        <v>166</v>
      </c>
      <c r="C36" s="1" t="str">
        <f t="shared" si="0"/>
        <v>UE333</v>
      </c>
      <c r="D36" s="1" t="str">
        <f t="shared" si="1"/>
        <v>8F</v>
      </c>
      <c r="E36" s="1" t="str">
        <f t="shared" si="2"/>
        <v>0xE3338F</v>
      </c>
      <c r="F36" s="3" t="s">
        <v>195</v>
      </c>
      <c r="G36" s="11" t="str">
        <f t="shared" si="3"/>
        <v>U</v>
      </c>
    </row>
    <row r="37" spans="1:96" ht="15.6" x14ac:dyDescent="0.3">
      <c r="A37" s="1">
        <v>35</v>
      </c>
      <c r="B37" s="1" t="s">
        <v>166</v>
      </c>
      <c r="C37" s="1" t="str">
        <f t="shared" si="0"/>
        <v>P3327</v>
      </c>
      <c r="D37" s="1" t="str">
        <f t="shared" si="1"/>
        <v>96</v>
      </c>
      <c r="E37" s="1" t="str">
        <f t="shared" si="2"/>
        <v>0x332796</v>
      </c>
      <c r="F37" s="8">
        <v>332796</v>
      </c>
      <c r="G37" s="11" t="str">
        <f t="shared" si="3"/>
        <v>P</v>
      </c>
    </row>
    <row r="38" spans="1:96" ht="15.6" x14ac:dyDescent="0.3">
      <c r="A38" s="1">
        <v>36</v>
      </c>
      <c r="B38" s="1" t="s">
        <v>166</v>
      </c>
      <c r="C38" s="1" t="str">
        <f t="shared" si="0"/>
        <v>P3321</v>
      </c>
      <c r="D38" s="1" t="str">
        <f t="shared" si="1"/>
        <v>19</v>
      </c>
      <c r="E38" s="1" t="str">
        <f t="shared" si="2"/>
        <v>0x332119</v>
      </c>
      <c r="F38" s="15">
        <v>332119</v>
      </c>
      <c r="G38" s="11" t="str">
        <f t="shared" si="3"/>
        <v>P</v>
      </c>
    </row>
    <row r="39" spans="1:96" ht="15.6" x14ac:dyDescent="0.3">
      <c r="A39" s="1">
        <v>37</v>
      </c>
      <c r="B39" s="1" t="s">
        <v>166</v>
      </c>
      <c r="C39" s="1" t="str">
        <f t="shared" si="0"/>
        <v>P3321</v>
      </c>
      <c r="D39" s="1" t="str">
        <f t="shared" si="1"/>
        <v>96</v>
      </c>
      <c r="E39" s="1" t="str">
        <f t="shared" si="2"/>
        <v>0x332196</v>
      </c>
      <c r="F39" s="15">
        <v>332196</v>
      </c>
      <c r="G39" s="11" t="str">
        <f t="shared" si="3"/>
        <v>P</v>
      </c>
    </row>
    <row r="40" spans="1:96" ht="15.6" x14ac:dyDescent="0.3">
      <c r="A40" s="1">
        <v>38</v>
      </c>
      <c r="B40" s="1" t="s">
        <v>166</v>
      </c>
      <c r="C40" s="1" t="str">
        <f t="shared" si="0"/>
        <v>P3328</v>
      </c>
      <c r="D40" s="1" t="str">
        <f t="shared" si="1"/>
        <v>16</v>
      </c>
      <c r="E40" s="1" t="str">
        <f t="shared" si="2"/>
        <v>0x332816</v>
      </c>
      <c r="F40" s="8">
        <v>332816</v>
      </c>
      <c r="G40" s="11" t="str">
        <f t="shared" si="3"/>
        <v>P</v>
      </c>
    </row>
    <row r="41" spans="1:96" ht="15.6" x14ac:dyDescent="0.3">
      <c r="A41" s="1">
        <v>39</v>
      </c>
      <c r="B41" s="1" t="s">
        <v>166</v>
      </c>
      <c r="C41" s="1" t="str">
        <f t="shared" si="0"/>
        <v>P3338</v>
      </c>
      <c r="D41" s="1" t="str">
        <f t="shared" si="1"/>
        <v>16</v>
      </c>
      <c r="E41" s="1" t="str">
        <f t="shared" si="2"/>
        <v>0x333816</v>
      </c>
      <c r="F41" s="8">
        <v>333816</v>
      </c>
      <c r="G41" s="11" t="str">
        <f t="shared" si="3"/>
        <v>P</v>
      </c>
    </row>
    <row r="42" spans="1:96" ht="15.6" x14ac:dyDescent="0.3">
      <c r="A42" s="1">
        <v>40</v>
      </c>
      <c r="B42" s="1" t="s">
        <v>166</v>
      </c>
      <c r="C42" s="1" t="str">
        <f t="shared" si="0"/>
        <v>UF333</v>
      </c>
      <c r="D42" s="1" t="str">
        <f t="shared" si="1"/>
        <v>00</v>
      </c>
      <c r="E42" s="1" t="str">
        <f t="shared" si="2"/>
        <v>0xF33300</v>
      </c>
      <c r="F42" s="8" t="s">
        <v>265</v>
      </c>
      <c r="G42" s="11" t="str">
        <f t="shared" si="3"/>
        <v>U</v>
      </c>
    </row>
    <row r="43" spans="1:96" ht="15.6" x14ac:dyDescent="0.3">
      <c r="A43" s="1">
        <v>41</v>
      </c>
      <c r="B43" s="1" t="s">
        <v>166</v>
      </c>
      <c r="C43" s="1" t="str">
        <f t="shared" si="0"/>
        <v>UF333</v>
      </c>
      <c r="D43" s="1" t="str">
        <f t="shared" si="1"/>
        <v>87</v>
      </c>
      <c r="E43" s="1" t="str">
        <f t="shared" si="2"/>
        <v>0xF33387</v>
      </c>
      <c r="F43" s="8" t="s">
        <v>266</v>
      </c>
      <c r="G43" s="11" t="str">
        <f t="shared" si="3"/>
        <v>U</v>
      </c>
    </row>
    <row r="44" spans="1:96" ht="15.6" x14ac:dyDescent="0.3">
      <c r="A44" s="1">
        <v>42</v>
      </c>
      <c r="B44" s="1" t="s">
        <v>166</v>
      </c>
      <c r="C44" s="1" t="str">
        <f t="shared" si="0"/>
        <v>P3327</v>
      </c>
      <c r="D44" s="1" t="str">
        <f t="shared" si="1"/>
        <v>46</v>
      </c>
      <c r="E44" s="1" t="str">
        <f t="shared" si="2"/>
        <v>0x332746</v>
      </c>
      <c r="F44" s="8">
        <v>332746</v>
      </c>
      <c r="G44" s="11" t="str">
        <f t="shared" si="3"/>
        <v>P</v>
      </c>
    </row>
    <row r="45" spans="1:96" ht="15.6" x14ac:dyDescent="0.3">
      <c r="A45" s="1">
        <v>43</v>
      </c>
      <c r="B45" s="1" t="s">
        <v>166</v>
      </c>
      <c r="C45" s="1" t="str">
        <f t="shared" si="0"/>
        <v>P3327</v>
      </c>
      <c r="D45" s="1" t="str">
        <f t="shared" si="1"/>
        <v>4B</v>
      </c>
      <c r="E45" s="1" t="str">
        <f t="shared" si="2"/>
        <v>0x33274B</v>
      </c>
      <c r="F45" s="8" t="s">
        <v>267</v>
      </c>
      <c r="G45" s="11" t="str">
        <f t="shared" si="3"/>
        <v>P</v>
      </c>
    </row>
    <row r="46" spans="1:96" ht="15.6" x14ac:dyDescent="0.3">
      <c r="A46" s="1">
        <v>44</v>
      </c>
      <c r="B46" s="1" t="s">
        <v>166</v>
      </c>
      <c r="C46" s="1" t="str">
        <f t="shared" si="0"/>
        <v>P3328</v>
      </c>
      <c r="D46" s="1" t="str">
        <f t="shared" si="1"/>
        <v>16</v>
      </c>
      <c r="E46" s="1" t="str">
        <f t="shared" si="2"/>
        <v>0x332816</v>
      </c>
      <c r="F46" s="8">
        <v>332816</v>
      </c>
      <c r="G46" t="str">
        <f t="shared" si="3"/>
        <v>P</v>
      </c>
    </row>
    <row r="47" spans="1:96" s="20" customFormat="1" ht="15.6" x14ac:dyDescent="0.3">
      <c r="A47" s="5">
        <v>45</v>
      </c>
      <c r="B47" s="5" t="s">
        <v>166</v>
      </c>
      <c r="C47" s="5" t="str">
        <f t="shared" si="0"/>
        <v>P3328</v>
      </c>
      <c r="D47" s="5" t="str">
        <f t="shared" si="1"/>
        <v>17</v>
      </c>
      <c r="E47" s="5" t="str">
        <f t="shared" si="2"/>
        <v>0x332817</v>
      </c>
      <c r="F47" s="16">
        <v>332817</v>
      </c>
      <c r="G47" t="str">
        <f t="shared" si="3"/>
        <v>P</v>
      </c>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row>
    <row r="48" spans="1:96" ht="15.6" x14ac:dyDescent="0.3">
      <c r="A48" s="5">
        <v>46</v>
      </c>
      <c r="B48" s="5" t="s">
        <v>166</v>
      </c>
      <c r="C48" s="5" t="str">
        <f t="shared" si="0"/>
        <v>P3328</v>
      </c>
      <c r="D48" s="5" t="str">
        <f t="shared" si="1"/>
        <v>13</v>
      </c>
      <c r="E48" s="5" t="str">
        <f t="shared" si="2"/>
        <v>0x332813</v>
      </c>
      <c r="F48" s="16">
        <v>332813</v>
      </c>
      <c r="G48" t="str">
        <f t="shared" si="3"/>
        <v>P</v>
      </c>
    </row>
    <row r="49" spans="1:7" ht="15.6" x14ac:dyDescent="0.3">
      <c r="A49" s="5">
        <v>47</v>
      </c>
      <c r="B49" s="5" t="s">
        <v>166</v>
      </c>
      <c r="C49" s="5" t="str">
        <f t="shared" si="0"/>
        <v>P3328</v>
      </c>
      <c r="D49" s="5" t="str">
        <f t="shared" si="1"/>
        <v>1C</v>
      </c>
      <c r="E49" s="5" t="str">
        <f t="shared" si="2"/>
        <v>0x33281C</v>
      </c>
      <c r="F49" s="16" t="s">
        <v>280</v>
      </c>
      <c r="G49" t="str">
        <f t="shared" si="3"/>
        <v>P</v>
      </c>
    </row>
    <row r="50" spans="1:7" ht="15.6" x14ac:dyDescent="0.3">
      <c r="A50" s="5">
        <v>48</v>
      </c>
      <c r="B50" s="5" t="s">
        <v>166</v>
      </c>
      <c r="C50" s="5" t="str">
        <f t="shared" si="0"/>
        <v>P3328</v>
      </c>
      <c r="D50" s="5" t="str">
        <f t="shared" si="1"/>
        <v>9A</v>
      </c>
      <c r="E50" s="5" t="str">
        <f t="shared" si="2"/>
        <v>0x33289A</v>
      </c>
      <c r="F50" s="16" t="s">
        <v>282</v>
      </c>
      <c r="G50" t="str">
        <f t="shared" si="3"/>
        <v>P</v>
      </c>
    </row>
    <row r="51" spans="1:7" ht="15.6" x14ac:dyDescent="0.3">
      <c r="A51" s="5">
        <v>49</v>
      </c>
      <c r="B51" s="5" t="s">
        <v>166</v>
      </c>
      <c r="C51" s="5" t="str">
        <f t="shared" si="0"/>
        <v>P3328</v>
      </c>
      <c r="D51" s="5" t="str">
        <f t="shared" si="1"/>
        <v>91</v>
      </c>
      <c r="E51" s="5" t="str">
        <f t="shared" si="2"/>
        <v>0x332891</v>
      </c>
      <c r="F51" s="16">
        <v>332891</v>
      </c>
      <c r="G51" t="str">
        <f t="shared" si="3"/>
        <v>P</v>
      </c>
    </row>
    <row r="52" spans="1:7" ht="15.6" x14ac:dyDescent="0.3">
      <c r="A52" s="5">
        <v>50</v>
      </c>
      <c r="B52" s="5" t="s">
        <v>166</v>
      </c>
      <c r="C52" s="5" t="str">
        <f t="shared" si="0"/>
        <v>P3327</v>
      </c>
      <c r="D52" s="5" t="str">
        <f t="shared" si="1"/>
        <v>93</v>
      </c>
      <c r="E52" s="5" t="str">
        <f t="shared" si="2"/>
        <v>0x332793</v>
      </c>
      <c r="F52" s="16">
        <v>332793</v>
      </c>
      <c r="G52" t="str">
        <f t="shared" si="3"/>
        <v>P</v>
      </c>
    </row>
    <row r="53" spans="1:7" ht="15.6" x14ac:dyDescent="0.3">
      <c r="A53" s="5">
        <v>51</v>
      </c>
      <c r="B53" s="5" t="s">
        <v>166</v>
      </c>
      <c r="C53" s="5" t="str">
        <f t="shared" si="0"/>
        <v>P3337</v>
      </c>
      <c r="D53" s="5" t="str">
        <f t="shared" si="1"/>
        <v>92</v>
      </c>
      <c r="E53" s="5" t="str">
        <f t="shared" si="2"/>
        <v>0x333792</v>
      </c>
      <c r="F53" s="16">
        <v>333792</v>
      </c>
      <c r="G53" t="str">
        <f t="shared" si="3"/>
        <v>P</v>
      </c>
    </row>
    <row r="54" spans="1:7" ht="15.6" x14ac:dyDescent="0.3">
      <c r="A54" s="5">
        <v>52</v>
      </c>
      <c r="B54" s="5" t="s">
        <v>166</v>
      </c>
      <c r="C54" s="5" t="str">
        <f t="shared" si="0"/>
        <v>P3337</v>
      </c>
      <c r="D54" s="5" t="str">
        <f t="shared" si="1"/>
        <v>91</v>
      </c>
      <c r="E54" s="5" t="str">
        <f t="shared" si="2"/>
        <v>0x333791</v>
      </c>
      <c r="F54" s="16">
        <v>333791</v>
      </c>
      <c r="G54" t="str">
        <f t="shared" si="3"/>
        <v>P</v>
      </c>
    </row>
    <row r="55" spans="1:7" ht="15.6" x14ac:dyDescent="0.3">
      <c r="A55" s="5">
        <v>53</v>
      </c>
      <c r="B55" s="5" t="s">
        <v>166</v>
      </c>
      <c r="C55" s="5" t="str">
        <f t="shared" si="0"/>
        <v>P3317</v>
      </c>
      <c r="D55" s="5" t="str">
        <f t="shared" si="1"/>
        <v>4B</v>
      </c>
      <c r="E55" s="5" t="str">
        <f t="shared" si="2"/>
        <v>0x33174B</v>
      </c>
      <c r="F55" s="16" t="s">
        <v>287</v>
      </c>
      <c r="G55" t="str">
        <f t="shared" si="3"/>
        <v>P</v>
      </c>
    </row>
    <row r="56" spans="1:7" ht="15.6" x14ac:dyDescent="0.3">
      <c r="A56" s="5">
        <v>54</v>
      </c>
      <c r="B56" s="5" t="s">
        <v>166</v>
      </c>
      <c r="C56" s="5" t="str">
        <f t="shared" si="0"/>
        <v>P3317</v>
      </c>
      <c r="D56" s="5" t="str">
        <f t="shared" si="1"/>
        <v>93</v>
      </c>
      <c r="E56" s="5" t="str">
        <f t="shared" si="2"/>
        <v>0x331793</v>
      </c>
      <c r="F56" s="16">
        <v>331793</v>
      </c>
      <c r="G56" t="str">
        <f t="shared" si="3"/>
        <v>P</v>
      </c>
    </row>
    <row r="57" spans="1:7" ht="15.6" x14ac:dyDescent="0.3">
      <c r="A57" s="5">
        <v>55</v>
      </c>
      <c r="B57" s="5" t="s">
        <v>166</v>
      </c>
      <c r="C57" s="5" t="str">
        <f t="shared" si="0"/>
        <v>P3327</v>
      </c>
      <c r="D57" s="5" t="str">
        <f t="shared" si="1"/>
        <v>94</v>
      </c>
      <c r="E57" s="5" t="str">
        <f t="shared" si="2"/>
        <v>0x332794</v>
      </c>
      <c r="F57" s="16">
        <v>332794</v>
      </c>
      <c r="G57" t="str">
        <f t="shared" si="3"/>
        <v>P</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 History</vt:lpstr>
      <vt:lpstr>DTCs</vt:lpstr>
      <vt:lpstr>DTC and FTB 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Assi Mor</dc:creator>
  <cp:lastModifiedBy>Assi Mor</cp:lastModifiedBy>
  <dcterms:created xsi:type="dcterms:W3CDTF">2025-01-22T12:05:52Z</dcterms:created>
  <dcterms:modified xsi:type="dcterms:W3CDTF">2025-08-06T11:35:11Z</dcterms:modified>
</cp:coreProperties>
</file>